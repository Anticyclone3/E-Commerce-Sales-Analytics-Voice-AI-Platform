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3"/>
  </bookViews>
  <sheets>
    <sheet name="Cover Page" sheetId="3" r:id="rId1"/>
    <sheet name="Sheet2" sheetId="5" r:id="rId2"/>
    <sheet name="Sheet3" sheetId="6" r:id="rId3"/>
    <sheet name="Data" sheetId="1" r:id="rId4"/>
    <sheet name="Prompts" sheetId="2" r:id="rId5"/>
    <sheet name="Sheet1" sheetId="4" r:id="rId6"/>
  </sheets>
  <definedNames>
    <definedName name="age">#REF!</definedName>
    <definedName name="count">#REF!</definedName>
    <definedName name="worth">#REF!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<sst xmlns="http://schemas.openxmlformats.org/spreadsheetml/2006/main" count="4379" uniqueCount="1026">
  <si>
    <t>Excel Data to Live Website</t>
  </si>
  <si>
    <r>
      <rPr>
        <sz val="16"/>
        <color theme="1"/>
        <rFont val="Calibri"/>
        <charset val="134"/>
        <scheme val="minor"/>
      </rPr>
      <t xml:space="preserve">Get </t>
    </r>
    <r>
      <rPr>
        <b/>
        <sz val="16"/>
        <color theme="1"/>
        <rFont val="Calibri"/>
        <charset val="134"/>
        <scheme val="minor"/>
      </rPr>
      <t>10% OFF</t>
    </r>
    <r>
      <rPr>
        <sz val="16"/>
        <color theme="1"/>
        <rFont val="Calibri"/>
        <charset val="134"/>
        <scheme val="minor"/>
      </rPr>
      <t xml:space="preserve"> our course using coupon code </t>
    </r>
    <r>
      <rPr>
        <b/>
        <sz val="16"/>
        <color theme="1"/>
        <rFont val="Calibri"/>
        <charset val="134"/>
        <scheme val="minor"/>
      </rPr>
      <t>EMAIL10</t>
    </r>
  </si>
  <si>
    <t>Get our AI for Business &amp; Finance Course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</si>
  <si>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</si>
  <si>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</si>
  <si>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</si>
  <si>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</si>
  <si>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</si>
  <si>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Category</t>
  </si>
  <si>
    <t>(ALL)</t>
  </si>
  <si>
    <t>Sum of Unit Price</t>
  </si>
  <si>
    <t>Count of Order Date</t>
  </si>
  <si>
    <t>Sum of Customer Rating</t>
  </si>
  <si>
    <t>Region</t>
  </si>
  <si>
    <t>Customer Gender</t>
  </si>
  <si>
    <t>Asia Pacific</t>
  </si>
  <si>
    <t>Europe</t>
  </si>
  <si>
    <t>Latin America</t>
  </si>
  <si>
    <t>Middle East &amp; Africa</t>
  </si>
  <si>
    <t>North America</t>
  </si>
  <si>
    <t>Grand Total</t>
  </si>
  <si>
    <t>Female</t>
  </si>
  <si>
    <t>Male</t>
  </si>
  <si>
    <t>Non-Binary</t>
  </si>
  <si>
    <t>Order ID</t>
  </si>
  <si>
    <t>Order Date</t>
  </si>
  <si>
    <t>Customer ID</t>
  </si>
  <si>
    <t>Customer Segment</t>
  </si>
  <si>
    <t>Customer Age</t>
  </si>
  <si>
    <t>Country</t>
  </si>
  <si>
    <t>State/Province</t>
  </si>
  <si>
    <t>City</t>
  </si>
  <si>
    <t>Product Name</t>
  </si>
  <si>
    <t>Sub-Category</t>
  </si>
  <si>
    <t>Quantity</t>
  </si>
  <si>
    <t>Unit Price</t>
  </si>
  <si>
    <t>Gross Revenue</t>
  </si>
  <si>
    <t>Discount %</t>
  </si>
  <si>
    <t>Discount Amount</t>
  </si>
  <si>
    <t>Net Revenue</t>
  </si>
  <si>
    <t>COGS</t>
  </si>
  <si>
    <t>Gross Profit</t>
  </si>
  <si>
    <t>Sales Channel</t>
  </si>
  <si>
    <t>Device Type</t>
  </si>
  <si>
    <t>Payment Method</t>
  </si>
  <si>
    <t>Shipping Method</t>
  </si>
  <si>
    <t>Shipping Cost</t>
  </si>
  <si>
    <t>Delivery Days</t>
  </si>
  <si>
    <t>Marketing Source</t>
  </si>
  <si>
    <t>Is Returned</t>
  </si>
  <si>
    <t>Return Reason</t>
  </si>
  <si>
    <t>Customer Rating</t>
  </si>
  <si>
    <t>Column1</t>
  </si>
  <si>
    <t>ORD-100082</t>
  </si>
  <si>
    <t>2024-01-06</t>
  </si>
  <si>
    <t>CUST-10212</t>
  </si>
  <si>
    <t>At-Risk</t>
  </si>
  <si>
    <t>United Kingdom</t>
  </si>
  <si>
    <t>Bristol</t>
  </si>
  <si>
    <t>Egyptian Cotton Sheets</t>
  </si>
  <si>
    <t>Home &amp; Kitchen</t>
  </si>
  <si>
    <t>Bedding</t>
  </si>
  <si>
    <t>Website</t>
  </si>
  <si>
    <t>Tablet</t>
  </si>
  <si>
    <t>Credit Card</t>
  </si>
  <si>
    <t>Standard</t>
  </si>
  <si>
    <t>Organic Search</t>
  </si>
  <si>
    <t>No</t>
  </si>
  <si>
    <t>ORD-100709</t>
  </si>
  <si>
    <t>2024-01-11</t>
  </si>
  <si>
    <t>CUST-10399</t>
  </si>
  <si>
    <t>VIP</t>
  </si>
  <si>
    <t>Japan</t>
  </si>
  <si>
    <t>Yokohama</t>
  </si>
  <si>
    <t>Intro to Psychology</t>
  </si>
  <si>
    <t>Books &amp; Media</t>
  </si>
  <si>
    <t>Textbooks</t>
  </si>
  <si>
    <t>Mobile App</t>
  </si>
  <si>
    <t>Mobile</t>
  </si>
  <si>
    <t>ORD-100629</t>
  </si>
  <si>
    <t>2024-01-15</t>
  </si>
  <si>
    <t>CUST-10067</t>
  </si>
  <si>
    <t>Mexico</t>
  </si>
  <si>
    <t>Monterrey</t>
  </si>
  <si>
    <t>UltraBook Pro 14</t>
  </si>
  <si>
    <t>Electronics</t>
  </si>
  <si>
    <t>Laptops</t>
  </si>
  <si>
    <t>Debit Card</t>
  </si>
  <si>
    <t>Direct</t>
  </si>
  <si>
    <t>ORD-100808</t>
  </si>
  <si>
    <t>2024-01-23</t>
  </si>
  <si>
    <t>CUST-10266</t>
  </si>
  <si>
    <t>Returning</t>
  </si>
  <si>
    <t>Singapore</t>
  </si>
  <si>
    <t>VlogShot 4K</t>
  </si>
  <si>
    <t>Cameras</t>
  </si>
  <si>
    <t>Marketplace</t>
  </si>
  <si>
    <t>Paid Search</t>
  </si>
  <si>
    <t>ORD-100935</t>
  </si>
  <si>
    <t>2024-01-31</t>
  </si>
  <si>
    <t>CUST-10068</t>
  </si>
  <si>
    <t>Argentina</t>
  </si>
  <si>
    <t>Cordoba</t>
  </si>
  <si>
    <t>Tennis Racket Carbon</t>
  </si>
  <si>
    <t>Sports &amp; Outdoors</t>
  </si>
  <si>
    <t>Team Sports</t>
  </si>
  <si>
    <t>Buy Now Pay Later</t>
  </si>
  <si>
    <t>Express</t>
  </si>
  <si>
    <t>ORD-100398</t>
  </si>
  <si>
    <t>CUST-10286</t>
  </si>
  <si>
    <t>New</t>
  </si>
  <si>
    <t>Tokyo</t>
  </si>
  <si>
    <t>DrawTab Studio</t>
  </si>
  <si>
    <t>Tablets</t>
  </si>
  <si>
    <t>Desktop</t>
  </si>
  <si>
    <t>Apple Pay</t>
  </si>
  <si>
    <t>ORD-100817</t>
  </si>
  <si>
    <t>2024-02-04</t>
  </si>
  <si>
    <t>CUST-10195</t>
  </si>
  <si>
    <t>France</t>
  </si>
  <si>
    <t>Toulouse</t>
  </si>
  <si>
    <t>ORD-100862</t>
  </si>
  <si>
    <t>2024-02-08</t>
  </si>
  <si>
    <t>CUST-10341</t>
  </si>
  <si>
    <t>United States</t>
  </si>
  <si>
    <t>Illinois</t>
  </si>
  <si>
    <t>Seattle</t>
  </si>
  <si>
    <t>Woven Throw Blanket</t>
  </si>
  <si>
    <t>Decor</t>
  </si>
  <si>
    <t>Bank Transfer</t>
  </si>
  <si>
    <t>ORD-100487</t>
  </si>
  <si>
    <t>2024-02-09</t>
  </si>
  <si>
    <t>CUST-10262</t>
  </si>
  <si>
    <t>Saudi Arabia</t>
  </si>
  <si>
    <t>Jeddah</t>
  </si>
  <si>
    <t>Under-Bed Bin</t>
  </si>
  <si>
    <t>Storage</t>
  </si>
  <si>
    <t>PayPal</t>
  </si>
  <si>
    <t>ORD-100947</t>
  </si>
  <si>
    <t>2024-02-13</t>
  </si>
  <si>
    <t>CUST-10366</t>
  </si>
  <si>
    <t>United Arab Emirates</t>
  </si>
  <si>
    <t>Dubai</t>
  </si>
  <si>
    <t>Down Comforter Queen</t>
  </si>
  <si>
    <t>Google Pay</t>
  </si>
  <si>
    <t>ORD-100248</t>
  </si>
  <si>
    <t>2024-02-14</t>
  </si>
  <si>
    <t>CUST-10007</t>
  </si>
  <si>
    <t>Canada</t>
  </si>
  <si>
    <t>Montreal</t>
  </si>
  <si>
    <t>Olive Oil EVOO 1L</t>
  </si>
  <si>
    <t>Grocery &amp; Gourmet</t>
  </si>
  <si>
    <t>Pantry</t>
  </si>
  <si>
    <t>ORD-100282</t>
  </si>
  <si>
    <t>2024-02-15</t>
  </si>
  <si>
    <t>CUST-10271</t>
  </si>
  <si>
    <t>Mexico City</t>
  </si>
  <si>
    <t>Pasta Variety Pack</t>
  </si>
  <si>
    <t>ORD-100369</t>
  </si>
  <si>
    <t>CUST-10185</t>
  </si>
  <si>
    <t>Chile</t>
  </si>
  <si>
    <t>Valparaiso</t>
  </si>
  <si>
    <t>Sparkling Water 24pk</t>
  </si>
  <si>
    <t>Beverages</t>
  </si>
  <si>
    <t>Social Media Ads</t>
  </si>
  <si>
    <t>ORD-100663</t>
  </si>
  <si>
    <t>CUST-10187</t>
  </si>
  <si>
    <t>New York</t>
  </si>
  <si>
    <t>Phoenix</t>
  </si>
  <si>
    <t>Oak Dining Table</t>
  </si>
  <si>
    <t>Furniture</t>
  </si>
  <si>
    <t>ORD-100259</t>
  </si>
  <si>
    <t>2024-02-20</t>
  </si>
  <si>
    <t>CUST-10233</t>
  </si>
  <si>
    <t>Washington</t>
  </si>
  <si>
    <t>Atlanta</t>
  </si>
  <si>
    <t>Puzzle Kingdom</t>
  </si>
  <si>
    <t>Toys &amp; Games</t>
  </si>
  <si>
    <t>Video Games</t>
  </si>
  <si>
    <t>ORD-100950</t>
  </si>
  <si>
    <t>2024-02-22</t>
  </si>
  <si>
    <t>CUST-10092</t>
  </si>
  <si>
    <t>Vancouver</t>
  </si>
  <si>
    <t>Soccer Goal Set</t>
  </si>
  <si>
    <t>Outdoor Toys</t>
  </si>
  <si>
    <t>Influencer</t>
  </si>
  <si>
    <t>ORD-100049</t>
  </si>
  <si>
    <t>2024-02-23</t>
  </si>
  <si>
    <t>CUST-10282</t>
  </si>
  <si>
    <t>Australia</t>
  </si>
  <si>
    <t>Sydney</t>
  </si>
  <si>
    <t>Wicker Basket Set</t>
  </si>
  <si>
    <t>Referral</t>
  </si>
  <si>
    <t>ORD-100676</t>
  </si>
  <si>
    <t>CUST-10381</t>
  </si>
  <si>
    <t>Canvas Sneakers</t>
  </si>
  <si>
    <t>Apparel</t>
  </si>
  <si>
    <t>Footwear</t>
  </si>
  <si>
    <t>ORD-100274</t>
  </si>
  <si>
    <t>2024-03-01</t>
  </si>
  <si>
    <t>Mid-Century Sofa</t>
  </si>
  <si>
    <t>ORD-100546</t>
  </si>
  <si>
    <t>2024-03-03</t>
  </si>
  <si>
    <t>CUST-10043</t>
  </si>
  <si>
    <t>Tailored Blouse</t>
  </si>
  <si>
    <t>Women's Clothing</t>
  </si>
  <si>
    <t>ORD-100202</t>
  </si>
  <si>
    <t>2024-03-05</t>
  </si>
  <si>
    <t>Slim Chino Pants</t>
  </si>
  <si>
    <t>Men's Clothing</t>
  </si>
  <si>
    <t>ORD-100604</t>
  </si>
  <si>
    <t>2024-03-06</t>
  </si>
  <si>
    <t>CUST-10112</t>
  </si>
  <si>
    <t>Volumizing Mascara</t>
  </si>
  <si>
    <t>Beauty &amp; Personal Care</t>
  </si>
  <si>
    <t>Makeup</t>
  </si>
  <si>
    <t>ORD-100408</t>
  </si>
  <si>
    <t>CUST-10355</t>
  </si>
  <si>
    <t>Colombia</t>
  </si>
  <si>
    <t>Medellin</t>
  </si>
  <si>
    <t>Linen Duvet Cover</t>
  </si>
  <si>
    <t>Social Commerce</t>
  </si>
  <si>
    <t>ORD-100090</t>
  </si>
  <si>
    <t>2024-03-07</t>
  </si>
  <si>
    <t>CUST-10047</t>
  </si>
  <si>
    <t>iPhase 14</t>
  </si>
  <si>
    <t>Smartphones</t>
  </si>
  <si>
    <t>ORD-100418</t>
  </si>
  <si>
    <t>CUST-10158</t>
  </si>
  <si>
    <t>Guadalajara</t>
  </si>
  <si>
    <t>Hair Clipper Cordless</t>
  </si>
  <si>
    <t>Grooming</t>
  </si>
  <si>
    <t>ORD-100987</t>
  </si>
  <si>
    <t>2024-03-09</t>
  </si>
  <si>
    <t>CUST-10216</t>
  </si>
  <si>
    <t>Calgary</t>
  </si>
  <si>
    <t>TabPro 11</t>
  </si>
  <si>
    <t>ORD-100224</t>
  </si>
  <si>
    <t>2024-03-11</t>
  </si>
  <si>
    <t>CUST-10320</t>
  </si>
  <si>
    <t>London</t>
  </si>
  <si>
    <t>Compression Leggings</t>
  </si>
  <si>
    <t>Activewear</t>
  </si>
  <si>
    <t>ORD-100167</t>
  </si>
  <si>
    <t>2024-03-14</t>
  </si>
  <si>
    <t>CUST-10114</t>
  </si>
  <si>
    <t>Velvet Accent Chair</t>
  </si>
  <si>
    <t>Email Campaign</t>
  </si>
  <si>
    <t>ORD-100616</t>
  </si>
  <si>
    <t>CUST-10267</t>
  </si>
  <si>
    <t>Italy</t>
  </si>
  <si>
    <t>Naples</t>
  </si>
  <si>
    <t>Basketball Indoor</t>
  </si>
  <si>
    <t>Next Day</t>
  </si>
  <si>
    <t>ORD-100559</t>
  </si>
  <si>
    <t>2024-03-15</t>
  </si>
  <si>
    <t>CUST-10181</t>
  </si>
  <si>
    <t>Texas</t>
  </si>
  <si>
    <t>ORD-100661</t>
  </si>
  <si>
    <t>2024-03-16</t>
  </si>
  <si>
    <t>CUST-10240</t>
  </si>
  <si>
    <t>Monopoly Deluxe</t>
  </si>
  <si>
    <t>Board Games</t>
  </si>
  <si>
    <t>ORD-100210</t>
  </si>
  <si>
    <t>CUST-10382</t>
  </si>
  <si>
    <t>Ottawa</t>
  </si>
  <si>
    <t>ORD-100442</t>
  </si>
  <si>
    <t>2024-03-17</t>
  </si>
  <si>
    <t>CUST-10055</t>
  </si>
  <si>
    <t>Brick City 1500pc</t>
  </si>
  <si>
    <t>Building Sets</t>
  </si>
  <si>
    <t>Yes</t>
  </si>
  <si>
    <t>Changed Mind</t>
  </si>
  <si>
    <t>ORD-100402</t>
  </si>
  <si>
    <t>2024-03-18</t>
  </si>
  <si>
    <t>CUST-10307</t>
  </si>
  <si>
    <t>Paris</t>
  </si>
  <si>
    <t>ORD-100832</t>
  </si>
  <si>
    <t>2024-03-19</t>
  </si>
  <si>
    <t>CUST-10301</t>
  </si>
  <si>
    <t>Bookshelf 5-Tier</t>
  </si>
  <si>
    <t>Display Ads</t>
  </si>
  <si>
    <t>ORD-100287</t>
  </si>
  <si>
    <t>2024-03-30</t>
  </si>
  <si>
    <t>CUST-10250</t>
  </si>
  <si>
    <t>Edinburgh</t>
  </si>
  <si>
    <t>Mindset Forge</t>
  </si>
  <si>
    <t>Non-Fiction</t>
  </si>
  <si>
    <t>ORD-100304</t>
  </si>
  <si>
    <t>2024-03-31</t>
  </si>
  <si>
    <t>CUST-10139</t>
  </si>
  <si>
    <t>Scented Candle Set</t>
  </si>
  <si>
    <t>ORD-100735</t>
  </si>
  <si>
    <t>2024-04-04</t>
  </si>
  <si>
    <t>CUST-10398</t>
  </si>
  <si>
    <t>Philadelphia</t>
  </si>
  <si>
    <t>Ceramic Table Lamp</t>
  </si>
  <si>
    <t>ORD-100701</t>
  </si>
  <si>
    <t>2024-04-07</t>
  </si>
  <si>
    <t>CUST-10397</t>
  </si>
  <si>
    <t>Netherlands</t>
  </si>
  <si>
    <t>Rotterdam</t>
  </si>
  <si>
    <t>ORD-100125</t>
  </si>
  <si>
    <t>2024-04-08</t>
  </si>
  <si>
    <t>Physical Store</t>
  </si>
  <si>
    <t>Economy</t>
  </si>
  <si>
    <t>ORD-100280</t>
  </si>
  <si>
    <t>Same Day</t>
  </si>
  <si>
    <t>ORD-100460</t>
  </si>
  <si>
    <t>2024-04-11</t>
  </si>
  <si>
    <t>ORD-100465</t>
  </si>
  <si>
    <t>2024-04-12</t>
  </si>
  <si>
    <t>CUST-10126</t>
  </si>
  <si>
    <t>Amsterdam</t>
  </si>
  <si>
    <t>FlexBook Duo</t>
  </si>
  <si>
    <t>ORD-100294</t>
  </si>
  <si>
    <t>2024-04-25</t>
  </si>
  <si>
    <t>CUST-10044</t>
  </si>
  <si>
    <t>PixelView 8</t>
  </si>
  <si>
    <t>Defective</t>
  </si>
  <si>
    <t>ORD-100174</t>
  </si>
  <si>
    <t>CUST-10003</t>
  </si>
  <si>
    <t>Milan</t>
  </si>
  <si>
    <t>Linen Jumpsuit</t>
  </si>
  <si>
    <t>ORD-100844</t>
  </si>
  <si>
    <t>2024-05-06</t>
  </si>
  <si>
    <t>CUST-10314</t>
  </si>
  <si>
    <t>Classic Oxford Shirt</t>
  </si>
  <si>
    <t>ORD-100207</t>
  </si>
  <si>
    <t>2024-05-07</t>
  </si>
  <si>
    <t>CUST-10022</t>
  </si>
  <si>
    <t>The Innovator's Code</t>
  </si>
  <si>
    <t>ORD-100927</t>
  </si>
  <si>
    <t>2024-05-10</t>
  </si>
  <si>
    <t>CUST-10276</t>
  </si>
  <si>
    <t>Earl Grey Loose Leaf</t>
  </si>
  <si>
    <t>Coffee &amp; Tea</t>
  </si>
  <si>
    <t>ORD-100069</t>
  </si>
  <si>
    <t>2024-05-13</t>
  </si>
  <si>
    <t>CUST-10058</t>
  </si>
  <si>
    <t>Aviator Sunglasses</t>
  </si>
  <si>
    <t>Accessories</t>
  </si>
  <si>
    <t>ORD-100175</t>
  </si>
  <si>
    <t>2024-05-21</t>
  </si>
  <si>
    <t>CUST-10211</t>
  </si>
  <si>
    <t>ORD-100057</t>
  </si>
  <si>
    <t>2024-05-23</t>
  </si>
  <si>
    <t>CUST-10168</t>
  </si>
  <si>
    <t>ORD-100672</t>
  </si>
  <si>
    <t>CUST-10128</t>
  </si>
  <si>
    <t>ORD-100021</t>
  </si>
  <si>
    <t>2024-05-28</t>
  </si>
  <si>
    <t>CUST-10097</t>
  </si>
  <si>
    <t>StudioMonitor M50</t>
  </si>
  <si>
    <t>Headphones</t>
  </si>
  <si>
    <t>ORD-100303</t>
  </si>
  <si>
    <t>2024-06-02</t>
  </si>
  <si>
    <t>CUST-10217</t>
  </si>
  <si>
    <t>Spain</t>
  </si>
  <si>
    <t>Barcelona</t>
  </si>
  <si>
    <t>Yoga Strap 8ft</t>
  </si>
  <si>
    <t>Yoga</t>
  </si>
  <si>
    <t>ORD-100254</t>
  </si>
  <si>
    <t>2024-06-04</t>
  </si>
  <si>
    <t>CUST-10378</t>
  </si>
  <si>
    <t>Quinoa Organic 2lb</t>
  </si>
  <si>
    <t>ORD-100104</t>
  </si>
  <si>
    <t>2024-06-07</t>
  </si>
  <si>
    <t>CUST-10045</t>
  </si>
  <si>
    <t>Goodnight Galaxy</t>
  </si>
  <si>
    <t>Children's Books</t>
  </si>
  <si>
    <t>ORD-100879</t>
  </si>
  <si>
    <t>2024-06-11</t>
  </si>
  <si>
    <t>CUST-10375</t>
  </si>
  <si>
    <t>Hong Kong</t>
  </si>
  <si>
    <t>Yoga Mat Premium</t>
  </si>
  <si>
    <t>Fitness Equipment</t>
  </si>
  <si>
    <t>ORD-100646</t>
  </si>
  <si>
    <t>2024-06-12</t>
  </si>
  <si>
    <t>CUST-10101</t>
  </si>
  <si>
    <t>ORD-100157</t>
  </si>
  <si>
    <t>CUST-10387</t>
  </si>
  <si>
    <t>Adjustable Dumbbells</t>
  </si>
  <si>
    <t>ORD-100888</t>
  </si>
  <si>
    <t>2024-06-16</t>
  </si>
  <si>
    <t>CUST-10325</t>
  </si>
  <si>
    <t>Sea Salt Flakes</t>
  </si>
  <si>
    <t>ORD-100091</t>
  </si>
  <si>
    <t>2024-06-28</t>
  </si>
  <si>
    <t>CUST-10121</t>
  </si>
  <si>
    <t>San Diego</t>
  </si>
  <si>
    <t>Wrong Size</t>
  </si>
  <si>
    <t>ORD-100885</t>
  </si>
  <si>
    <t>2024-07-06</t>
  </si>
  <si>
    <t>CUST-10393</t>
  </si>
  <si>
    <t>ORD-100992</t>
  </si>
  <si>
    <t>2024-07-12</t>
  </si>
  <si>
    <t>CUST-10104</t>
  </si>
  <si>
    <t>Toronto</t>
  </si>
  <si>
    <t>ORD-100220</t>
  </si>
  <si>
    <t>2024-07-14</t>
  </si>
  <si>
    <t>CUST-10075</t>
  </si>
  <si>
    <t>Where the Stars Hide</t>
  </si>
  <si>
    <t>ORD-100608</t>
  </si>
  <si>
    <t>2024-07-21</t>
  </si>
  <si>
    <t>CUST-10209</t>
  </si>
  <si>
    <t>QuietWave 700</t>
  </si>
  <si>
    <t>ORD-100291</t>
  </si>
  <si>
    <t>2024-07-28</t>
  </si>
  <si>
    <t>CUST-10041</t>
  </si>
  <si>
    <t>Liquid Foundation</t>
  </si>
  <si>
    <t>ORD-100100</t>
  </si>
  <si>
    <t>2024-08-04</t>
  </si>
  <si>
    <t>CUST-10277</t>
  </si>
  <si>
    <t>ORD-100744</t>
  </si>
  <si>
    <t>2024-08-12</t>
  </si>
  <si>
    <t>CUST-10340</t>
  </si>
  <si>
    <t>Buenos Aires</t>
  </si>
  <si>
    <t>Closet Organizer</t>
  </si>
  <si>
    <t>ORD-100127</t>
  </si>
  <si>
    <t>2024-08-13</t>
  </si>
  <si>
    <t>CUST-10206</t>
  </si>
  <si>
    <t>Brazil</t>
  </si>
  <si>
    <t>Rio de Janeiro</t>
  </si>
  <si>
    <t>ORD-100219</t>
  </si>
  <si>
    <t>2024-08-14</t>
  </si>
  <si>
    <t>CUST-10086</t>
  </si>
  <si>
    <t>Missouri</t>
  </si>
  <si>
    <t>ORD-100004</t>
  </si>
  <si>
    <t>CUST-10040</t>
  </si>
  <si>
    <t>Brisbane</t>
  </si>
  <si>
    <t>Ankle Boots</t>
  </si>
  <si>
    <t>ORD-100712</t>
  </si>
  <si>
    <t>2024-08-15</t>
  </si>
  <si>
    <t>CUST-10166</t>
  </si>
  <si>
    <t>South Korea</t>
  </si>
  <si>
    <t>Busan</t>
  </si>
  <si>
    <t>Running Trainers</t>
  </si>
  <si>
    <t>ORD-100731</t>
  </si>
  <si>
    <t>2024-08-17</t>
  </si>
  <si>
    <t>CUST-10157</t>
  </si>
  <si>
    <t>Speed Racer X</t>
  </si>
  <si>
    <t>ORD-100918</t>
  </si>
  <si>
    <t>2024-08-23</t>
  </si>
  <si>
    <t>ORD-100822</t>
  </si>
  <si>
    <t>2024-09-05</t>
  </si>
  <si>
    <t>CUST-10363</t>
  </si>
  <si>
    <t>Galaxy Edge S</t>
  </si>
  <si>
    <t>ORD-100700</t>
  </si>
  <si>
    <t>2024-09-07</t>
  </si>
  <si>
    <t>CUST-10061</t>
  </si>
  <si>
    <t>Velvet Matte Lipstick</t>
  </si>
  <si>
    <t>ORD-100407</t>
  </si>
  <si>
    <t>2024-09-08</t>
  </si>
  <si>
    <t>CUST-10299</t>
  </si>
  <si>
    <t>ORD-100846</t>
  </si>
  <si>
    <t>2024-09-20</t>
  </si>
  <si>
    <t>CUST-10311</t>
  </si>
  <si>
    <t>Setting Powder</t>
  </si>
  <si>
    <t>ORD-100591</t>
  </si>
  <si>
    <t>2024-09-22</t>
  </si>
  <si>
    <t>CUST-10160</t>
  </si>
  <si>
    <t>Colorado</t>
  </si>
  <si>
    <t>ORD-100679</t>
  </si>
  <si>
    <t>2024-09-24</t>
  </si>
  <si>
    <t>CUST-10141</t>
  </si>
  <si>
    <t>Memory Foam Pillow</t>
  </si>
  <si>
    <t>ORD-100855</t>
  </si>
  <si>
    <t>2024-09-25</t>
  </si>
  <si>
    <t>ORD-100724</t>
  </si>
  <si>
    <t>2024-09-26</t>
  </si>
  <si>
    <t>CUST-10255</t>
  </si>
  <si>
    <t>Germany</t>
  </si>
  <si>
    <t>Berlin</t>
  </si>
  <si>
    <t>Not as Described</t>
  </si>
  <si>
    <t>ORD-100489</t>
  </si>
  <si>
    <t>2024-09-27</t>
  </si>
  <si>
    <t>Science Lab Junior</t>
  </si>
  <si>
    <t>Educational Toys</t>
  </si>
  <si>
    <t>ORD-100961</t>
  </si>
  <si>
    <t>2024-10-01</t>
  </si>
  <si>
    <t>ProBook X1</t>
  </si>
  <si>
    <t>ORD-100829</t>
  </si>
  <si>
    <t>2024-10-05</t>
  </si>
  <si>
    <t>ORD-100329</t>
  </si>
  <si>
    <t>2024-10-06</t>
  </si>
  <si>
    <t>ORD-100464</t>
  </si>
  <si>
    <t>2024-10-07</t>
  </si>
  <si>
    <t>CUST-10073</t>
  </si>
  <si>
    <t>Non-Stick Frypan</t>
  </si>
  <si>
    <t>Cookware</t>
  </si>
  <si>
    <t>ORD-100276</t>
  </si>
  <si>
    <t>2024-10-09</t>
  </si>
  <si>
    <t>CUST-10008</t>
  </si>
  <si>
    <t>Seoul</t>
  </si>
  <si>
    <t>AirSlim 13</t>
  </si>
  <si>
    <t>ORD-100203</t>
  </si>
  <si>
    <t>2024-10-12</t>
  </si>
  <si>
    <t>CUST-10394</t>
  </si>
  <si>
    <t>OneFlex 11</t>
  </si>
  <si>
    <t>ORD-100277</t>
  </si>
  <si>
    <t>2024-10-13</t>
  </si>
  <si>
    <t>CUST-10018</t>
  </si>
  <si>
    <t>Sweden</t>
  </si>
  <si>
    <t>Stockholm</t>
  </si>
  <si>
    <t>Cork Yoga Block</t>
  </si>
  <si>
    <t>ORD-100444</t>
  </si>
  <si>
    <t>2024-10-16</t>
  </si>
  <si>
    <t>CUST-10161</t>
  </si>
  <si>
    <t>Turin</t>
  </si>
  <si>
    <t>ORD-100434</t>
  </si>
  <si>
    <t>2024-10-18</t>
  </si>
  <si>
    <t>CUST-10225</t>
  </si>
  <si>
    <t>ORD-100631</t>
  </si>
  <si>
    <t>2024-10-22</t>
  </si>
  <si>
    <t>CUST-10352</t>
  </si>
  <si>
    <t>Santiago</t>
  </si>
  <si>
    <t>Espresso Machine Pro</t>
  </si>
  <si>
    <t>Small Appliances</t>
  </si>
  <si>
    <t>ORD-100969</t>
  </si>
  <si>
    <t>2024-10-30</t>
  </si>
  <si>
    <t>CUST-10146</t>
  </si>
  <si>
    <t>ORD-100757</t>
  </si>
  <si>
    <t>2024-11-01</t>
  </si>
  <si>
    <t>CUST-10235</t>
  </si>
  <si>
    <t>Bogota</t>
  </si>
  <si>
    <t>ORD-100240</t>
  </si>
  <si>
    <t>2024-11-03</t>
  </si>
  <si>
    <t>CUST-10099</t>
  </si>
  <si>
    <t>PowerStation 15</t>
  </si>
  <si>
    <t>ORD-100360</t>
  </si>
  <si>
    <t>2024-11-04</t>
  </si>
  <si>
    <t>Audiobook: Mindset Forge</t>
  </si>
  <si>
    <t>Audiobooks</t>
  </si>
  <si>
    <t>ORD-100071</t>
  </si>
  <si>
    <t>2024-11-07</t>
  </si>
  <si>
    <t>CUST-10305</t>
  </si>
  <si>
    <t>ORD-100683</t>
  </si>
  <si>
    <t>2024-11-11</t>
  </si>
  <si>
    <t>CUST-10289</t>
  </si>
  <si>
    <t>FitTrack Series 7</t>
  </si>
  <si>
    <t>Smartwatches</t>
  </si>
  <si>
    <t>ORD-100826</t>
  </si>
  <si>
    <t>2024-11-12</t>
  </si>
  <si>
    <t>CUST-10197</t>
  </si>
  <si>
    <t>Seville</t>
  </si>
  <si>
    <t>Trampoline 12ft</t>
  </si>
  <si>
    <t>ORD-100732</t>
  </si>
  <si>
    <t>2024-11-13</t>
  </si>
  <si>
    <t>CUST-10268</t>
  </si>
  <si>
    <t>Boston</t>
  </si>
  <si>
    <t>Audiobook: The Last Library</t>
  </si>
  <si>
    <t>ORD-100445</t>
  </si>
  <si>
    <t>High-Waist Jeans</t>
  </si>
  <si>
    <t>ORD-100964</t>
  </si>
  <si>
    <t>2024-11-14</t>
  </si>
  <si>
    <t>CUST-10090</t>
  </si>
  <si>
    <t>SoundCore Elite</t>
  </si>
  <si>
    <t>ORD-100028</t>
  </si>
  <si>
    <t>2024-11-18</t>
  </si>
  <si>
    <t>CUST-10278</t>
  </si>
  <si>
    <t>South Africa</t>
  </si>
  <si>
    <t>Johannesburg</t>
  </si>
  <si>
    <t>Toaster 4-Slice</t>
  </si>
  <si>
    <t>ORD-100027</t>
  </si>
  <si>
    <t>2024-11-19</t>
  </si>
  <si>
    <t>Cold Brew Coffee 6pk</t>
  </si>
  <si>
    <t>ORD-100765</t>
  </si>
  <si>
    <t>CUST-10180</t>
  </si>
  <si>
    <t>ORD-100361</t>
  </si>
  <si>
    <t>2024-11-20</t>
  </si>
  <si>
    <t>CUST-10270</t>
  </si>
  <si>
    <t>SportBand Active</t>
  </si>
  <si>
    <t>ORD-100106</t>
  </si>
  <si>
    <t>2024-11-23</t>
  </si>
  <si>
    <t>CUST-10037</t>
  </si>
  <si>
    <t>Performance Hoodie</t>
  </si>
  <si>
    <t>ORD-100268</t>
  </si>
  <si>
    <t>Knit Sweater</t>
  </si>
  <si>
    <t>ORD-100910</t>
  </si>
  <si>
    <t>2024-11-26</t>
  </si>
  <si>
    <t>CUST-10391</t>
  </si>
  <si>
    <t>ORD-100151</t>
  </si>
  <si>
    <t>CUST-10082</t>
  </si>
  <si>
    <t>Madrid</t>
  </si>
  <si>
    <t>ORD-100521</t>
  </si>
  <si>
    <t>2024-11-27</t>
  </si>
  <si>
    <t>ORD-100120</t>
  </si>
  <si>
    <t>2024-11-28</t>
  </si>
  <si>
    <t>CUST-10319</t>
  </si>
  <si>
    <t>Cast Iron Skillet 12in</t>
  </si>
  <si>
    <t>Wrong Item Sent</t>
  </si>
  <si>
    <t>ORD-100236</t>
  </si>
  <si>
    <t>2024-11-29</t>
  </si>
  <si>
    <t>CUST-10125</t>
  </si>
  <si>
    <t>Coding Caterpillar</t>
  </si>
  <si>
    <t>ORD-100204</t>
  </si>
  <si>
    <t>CUST-10285</t>
  </si>
  <si>
    <t>Melbourne</t>
  </si>
  <si>
    <t>Saddle Bag</t>
  </si>
  <si>
    <t>Cycling</t>
  </si>
  <si>
    <t>ORD-100705</t>
  </si>
  <si>
    <t>2024-12-03</t>
  </si>
  <si>
    <t>CUST-10344</t>
  </si>
  <si>
    <t>SlateView 10</t>
  </si>
  <si>
    <t>ORD-100146</t>
  </si>
  <si>
    <t>2024-12-04</t>
  </si>
  <si>
    <t>CUST-10283</t>
  </si>
  <si>
    <t>Repair Conditioner</t>
  </si>
  <si>
    <t>Haircare</t>
  </si>
  <si>
    <t>ORD-100562</t>
  </si>
  <si>
    <t>2024-12-05</t>
  </si>
  <si>
    <t>ORD-100001</t>
  </si>
  <si>
    <t>2024-12-10</t>
  </si>
  <si>
    <t>Dry Shampoo</t>
  </si>
  <si>
    <t>ORD-100278</t>
  </si>
  <si>
    <t>CUST-10032</t>
  </si>
  <si>
    <t>ORD-100944</t>
  </si>
  <si>
    <t>2024-12-12</t>
  </si>
  <si>
    <t>Saffron Threads 2g</t>
  </si>
  <si>
    <t>Specialty Foods</t>
  </si>
  <si>
    <t>ORD-100110</t>
  </si>
  <si>
    <t>2024-12-15</t>
  </si>
  <si>
    <t>Crew Neck Tee</t>
  </si>
  <si>
    <t>ORD-100632</t>
  </si>
  <si>
    <t>2024-12-17</t>
  </si>
  <si>
    <t>CUST-10162</t>
  </si>
  <si>
    <t>Lyon</t>
  </si>
  <si>
    <t>Hydrating Moisturizer</t>
  </si>
  <si>
    <t>Skincare</t>
  </si>
  <si>
    <t>ORD-100708</t>
  </si>
  <si>
    <t>2024-12-19</t>
  </si>
  <si>
    <t>ORD-100824</t>
  </si>
  <si>
    <t>2024-12-22</t>
  </si>
  <si>
    <t>CUST-10188</t>
  </si>
  <si>
    <t>California</t>
  </si>
  <si>
    <t>Chicago</t>
  </si>
  <si>
    <t>The Cartographer's Daughter</t>
  </si>
  <si>
    <t>Fiction</t>
  </si>
  <si>
    <t>ORD-100531</t>
  </si>
  <si>
    <t>2024-12-24</t>
  </si>
  <si>
    <t>CUST-10177</t>
  </si>
  <si>
    <t>ORD-100247</t>
  </si>
  <si>
    <t>2024-12-28</t>
  </si>
  <si>
    <t>CUST-10052</t>
  </si>
  <si>
    <t>ORD-100060</t>
  </si>
  <si>
    <t>2025-01-04</t>
  </si>
  <si>
    <t>CUST-10184</t>
  </si>
  <si>
    <t>Malmo</t>
  </si>
  <si>
    <t>Soccer Ball Pro</t>
  </si>
  <si>
    <t>ORD-100137</t>
  </si>
  <si>
    <t>2025-01-15</t>
  </si>
  <si>
    <t>CUST-10210</t>
  </si>
  <si>
    <t>ORD-100269</t>
  </si>
  <si>
    <t>2025-01-21</t>
  </si>
  <si>
    <t>CUST-10306</t>
  </si>
  <si>
    <t>Dallas</t>
  </si>
  <si>
    <t>Vitamin C Serum 30ml</t>
  </si>
  <si>
    <t>ORD-100694</t>
  </si>
  <si>
    <t>2025-01-24</t>
  </si>
  <si>
    <t>ORD-100767</t>
  </si>
  <si>
    <t>2025-01-25</t>
  </si>
  <si>
    <t>CUST-10119</t>
  </si>
  <si>
    <t>Kyoto</t>
  </si>
  <si>
    <t>Math Manipulatives</t>
  </si>
  <si>
    <t>ORD-100281</t>
  </si>
  <si>
    <t>Stand Mixer 5qt</t>
  </si>
  <si>
    <t>ORD-100506</t>
  </si>
  <si>
    <t>2025-01-27</t>
  </si>
  <si>
    <t>CUST-10054</t>
  </si>
  <si>
    <t>ORD-100480</t>
  </si>
  <si>
    <t>2025-01-29</t>
  </si>
  <si>
    <t>CUST-10074</t>
  </si>
  <si>
    <t>Wool Scarf</t>
  </si>
  <si>
    <t>ORD-100126</t>
  </si>
  <si>
    <t>2025-02-05</t>
  </si>
  <si>
    <t>CUST-10249</t>
  </si>
  <si>
    <t>ORD-100645</t>
  </si>
  <si>
    <t>2025-02-06</t>
  </si>
  <si>
    <t>CUST-10230</t>
  </si>
  <si>
    <t>ORD-100313</t>
  </si>
  <si>
    <t>CUST-10142</t>
  </si>
  <si>
    <t>Denver</t>
  </si>
  <si>
    <t>ORD-100748</t>
  </si>
  <si>
    <t>2025-02-08</t>
  </si>
  <si>
    <t>CUST-10027</t>
  </si>
  <si>
    <t>Wool Blend Blazer</t>
  </si>
  <si>
    <t>ORD-100321</t>
  </si>
  <si>
    <t>2025-02-10</t>
  </si>
  <si>
    <t>CUST-10060</t>
  </si>
  <si>
    <t>ORD-100752</t>
  </si>
  <si>
    <t>2025-02-14</t>
  </si>
  <si>
    <t>CUST-10042</t>
  </si>
  <si>
    <t>Munich</t>
  </si>
  <si>
    <t>ORD-100861</t>
  </si>
  <si>
    <t>2025-02-15</t>
  </si>
  <si>
    <t>CUST-10064</t>
  </si>
  <si>
    <t>Wisconsin</t>
  </si>
  <si>
    <t>Los Angeles</t>
  </si>
  <si>
    <t>ActionCam Pro</t>
  </si>
  <si>
    <t>ORD-100930</t>
  </si>
  <si>
    <t>2025-02-18</t>
  </si>
  <si>
    <t>CUST-10231</t>
  </si>
  <si>
    <t>ORD-101000</t>
  </si>
  <si>
    <t>2025-02-19</t>
  </si>
  <si>
    <t>CUST-10192</t>
  </si>
  <si>
    <t>Manuka Honey 250g</t>
  </si>
  <si>
    <t>ORD-100770</t>
  </si>
  <si>
    <t>2025-02-21</t>
  </si>
  <si>
    <t>CUST-10274</t>
  </si>
  <si>
    <t>Oregon</t>
  </si>
  <si>
    <t>A-Line Skirt</t>
  </si>
  <si>
    <t>ORD-100209</t>
  </si>
  <si>
    <t>CUST-10136</t>
  </si>
  <si>
    <t>Gothenburg</t>
  </si>
  <si>
    <t>ORD-100600</t>
  </si>
  <si>
    <t>Damaged in Shipping</t>
  </si>
  <si>
    <t>ORD-100417</t>
  </si>
  <si>
    <t>2025-02-25</t>
  </si>
  <si>
    <t>ORD-100431</t>
  </si>
  <si>
    <t>CUST-10389</t>
  </si>
  <si>
    <t>FlexPad Mini</t>
  </si>
  <si>
    <t>ORD-100870</t>
  </si>
  <si>
    <t>2025-02-26</t>
  </si>
  <si>
    <t>Meditation Cushion</t>
  </si>
  <si>
    <t>ORD-100999</t>
  </si>
  <si>
    <t>2025-03-09</t>
  </si>
  <si>
    <t>CUST-10331</t>
  </si>
  <si>
    <t>ORD-100307</t>
  </si>
  <si>
    <t>CUST-10236</t>
  </si>
  <si>
    <t>Space Station Build</t>
  </si>
  <si>
    <t>ORD-100607</t>
  </si>
  <si>
    <t>2025-03-12</t>
  </si>
  <si>
    <t>CUST-10237</t>
  </si>
  <si>
    <t>ORD-100617</t>
  </si>
  <si>
    <t>2025-03-13</t>
  </si>
  <si>
    <t>CUST-10287</t>
  </si>
  <si>
    <t>ORD-100459</t>
  </si>
  <si>
    <t>CUST-10303</t>
  </si>
  <si>
    <t>Sports Bra Pro</t>
  </si>
  <si>
    <t>ORD-100208</t>
  </si>
  <si>
    <t>2025-03-22</t>
  </si>
  <si>
    <t>CUST-10367</t>
  </si>
  <si>
    <t>ZenMobile X</t>
  </si>
  <si>
    <t>ORD-100796</t>
  </si>
  <si>
    <t>2025-03-25</t>
  </si>
  <si>
    <t>Wrap Midi Dress</t>
  </si>
  <si>
    <t>ORD-100256</t>
  </si>
  <si>
    <t>2025-03-30</t>
  </si>
  <si>
    <t>CUST-10347</t>
  </si>
  <si>
    <t>Birmingham</t>
  </si>
  <si>
    <t>Training Shorts</t>
  </si>
  <si>
    <t>ORD-100544</t>
  </si>
  <si>
    <t>2025-04-01</t>
  </si>
  <si>
    <t>Kombucha Variety 12pk</t>
  </si>
  <si>
    <t>ORD-100387</t>
  </si>
  <si>
    <t>2025-04-05</t>
  </si>
  <si>
    <t>CUST-10108</t>
  </si>
  <si>
    <t>Aftershave Balm</t>
  </si>
  <si>
    <t>ORD-100512</t>
  </si>
  <si>
    <t>2025-04-07</t>
  </si>
  <si>
    <t>Abstract Wall Art</t>
  </si>
  <si>
    <t>ORD-100072</t>
  </si>
  <si>
    <t>2025-04-08</t>
  </si>
  <si>
    <t>ORD-100812</t>
  </si>
  <si>
    <t>CUST-10118</t>
  </si>
  <si>
    <t>Silk Tie</t>
  </si>
  <si>
    <t>ORD-100797</t>
  </si>
  <si>
    <t>2025-04-10</t>
  </si>
  <si>
    <t>Saltwater Symphony</t>
  </si>
  <si>
    <t>ORD-100230</t>
  </si>
  <si>
    <t>2025-04-14</t>
  </si>
  <si>
    <t>CUST-10368</t>
  </si>
  <si>
    <t>ORD-100802</t>
  </si>
  <si>
    <t>CUST-10261</t>
  </si>
  <si>
    <t>ORD-100502</t>
  </si>
  <si>
    <t>2025-04-15</t>
  </si>
  <si>
    <t>CUST-10339</t>
  </si>
  <si>
    <t>Hamburg</t>
  </si>
  <si>
    <t>Citrus Cologne</t>
  </si>
  <si>
    <t>Fragrance</t>
  </si>
  <si>
    <t>ORD-100976</t>
  </si>
  <si>
    <t>BeatLine Sport</t>
  </si>
  <si>
    <t>ORD-100806</t>
  </si>
  <si>
    <t>2025-04-18</t>
  </si>
  <si>
    <t>ORD-100941</t>
  </si>
  <si>
    <t>2025-04-21</t>
  </si>
  <si>
    <t>ORD-100714</t>
  </si>
  <si>
    <t>2025-04-23</t>
  </si>
  <si>
    <t>Camp Stove Dual</t>
  </si>
  <si>
    <t>Camping</t>
  </si>
  <si>
    <t>ORD-100284</t>
  </si>
  <si>
    <t>2025-04-26</t>
  </si>
  <si>
    <t>CUST-10120</t>
  </si>
  <si>
    <t>ORD-100177</t>
  </si>
  <si>
    <t>2025-04-30</t>
  </si>
  <si>
    <t>CUST-10241</t>
  </si>
  <si>
    <t>ORD-100184</t>
  </si>
  <si>
    <t>2025-05-03</t>
  </si>
  <si>
    <t>CUST-10182</t>
  </si>
  <si>
    <t>ORD-100697</t>
  </si>
  <si>
    <t>2025-05-05</t>
  </si>
  <si>
    <t>CUST-10017</t>
  </si>
  <si>
    <t>ORD-100478</t>
  </si>
  <si>
    <t>2025-05-10</t>
  </si>
  <si>
    <t>Calculus Vol 2</t>
  </si>
  <si>
    <t>ORD-100037</t>
  </si>
  <si>
    <t>2025-05-20</t>
  </si>
  <si>
    <t>ORD-100805</t>
  </si>
  <si>
    <t>2025-05-22</t>
  </si>
  <si>
    <t>Eyeshadow Palette 12</t>
  </si>
  <si>
    <t>ORD-100421</t>
  </si>
  <si>
    <t>2025-05-24</t>
  </si>
  <si>
    <t>CUST-10062</t>
  </si>
  <si>
    <t>Single Origin Coffee 1lb</t>
  </si>
  <si>
    <t>ORD-100164</t>
  </si>
  <si>
    <t>2025-05-27</t>
  </si>
  <si>
    <t>CUST-10200</t>
  </si>
  <si>
    <t>ORD-100237</t>
  </si>
  <si>
    <t>2025-05-28</t>
  </si>
  <si>
    <t>Safety Razor Set</t>
  </si>
  <si>
    <t>ORD-100243</t>
  </si>
  <si>
    <t>2025-06-02</t>
  </si>
  <si>
    <t>CUST-10284</t>
  </si>
  <si>
    <t>Miami</t>
  </si>
  <si>
    <t>ORD-100305</t>
  </si>
  <si>
    <t>2025-06-03</t>
  </si>
  <si>
    <t>ORD-100501</t>
  </si>
  <si>
    <t>2025-06-05</t>
  </si>
  <si>
    <t>ORD-100688</t>
  </si>
  <si>
    <t>2025-06-07</t>
  </si>
  <si>
    <t>CUST-10013</t>
  </si>
  <si>
    <t>ORD-100919</t>
  </si>
  <si>
    <t>2025-06-11</t>
  </si>
  <si>
    <t>CUST-10103</t>
  </si>
  <si>
    <t>The Hague</t>
  </si>
  <si>
    <t>Stainless Saucepan Set</t>
  </si>
  <si>
    <t>ORD-100588</t>
  </si>
  <si>
    <t>2025-06-12</t>
  </si>
  <si>
    <t>CUST-10065</t>
  </si>
  <si>
    <t>ORD-100548</t>
  </si>
  <si>
    <t>2025-06-19</t>
  </si>
  <si>
    <t>ORD-100211</t>
  </si>
  <si>
    <t>2025-06-21</t>
  </si>
  <si>
    <t>ORD-100781</t>
  </si>
  <si>
    <t>2025-06-25</t>
  </si>
  <si>
    <t>CUST-10000</t>
  </si>
  <si>
    <t>Audiobook: Atomic Discipline</t>
  </si>
  <si>
    <t>ORD-100121</t>
  </si>
  <si>
    <t>2025-07-16</t>
  </si>
  <si>
    <t>ORD-100350</t>
  </si>
  <si>
    <t>2025-08-03</t>
  </si>
  <si>
    <t>CUST-10304</t>
  </si>
  <si>
    <t>ORD-100481</t>
  </si>
  <si>
    <t>2025-08-08</t>
  </si>
  <si>
    <t>CUST-10143</t>
  </si>
  <si>
    <t>ORD-100605</t>
  </si>
  <si>
    <t>2025-08-12</t>
  </si>
  <si>
    <t>CUST-10312</t>
  </si>
  <si>
    <t>Virginia</t>
  </si>
  <si>
    <t>ORD-100867</t>
  </si>
  <si>
    <t>2025-08-15</t>
  </si>
  <si>
    <t>CUST-10242</t>
  </si>
  <si>
    <t>ORD-100840</t>
  </si>
  <si>
    <t>2025-08-26</t>
  </si>
  <si>
    <t>Nexus Pro 12</t>
  </si>
  <si>
    <t>ORD-100334</t>
  </si>
  <si>
    <t>2025-09-01</t>
  </si>
  <si>
    <t>ORD-100768</t>
  </si>
  <si>
    <t>2025-09-04</t>
  </si>
  <si>
    <t>Cashmere Cardigan</t>
  </si>
  <si>
    <t>ORD-100597</t>
  </si>
  <si>
    <t>ORD-100835</t>
  </si>
  <si>
    <t>2025-09-07</t>
  </si>
  <si>
    <t>CUST-10170</t>
  </si>
  <si>
    <t>Catan Voyages</t>
  </si>
  <si>
    <t>ORD-100997</t>
  </si>
  <si>
    <t>2025-09-09</t>
  </si>
  <si>
    <t>CUST-10046</t>
  </si>
  <si>
    <t>ORD-100685</t>
  </si>
  <si>
    <t>2025-09-12</t>
  </si>
  <si>
    <t>The Last Library</t>
  </si>
  <si>
    <t>ORD-100793</t>
  </si>
  <si>
    <t>CUST-10130</t>
  </si>
  <si>
    <t>ORD-100848</t>
  </si>
  <si>
    <t>2025-09-23</t>
  </si>
  <si>
    <t>PulseWatch Pro</t>
  </si>
  <si>
    <t>ORD-100438</t>
  </si>
  <si>
    <t>2025-09-27</t>
  </si>
  <si>
    <t>CUST-10348</t>
  </si>
  <si>
    <t>ORD-100956</t>
  </si>
  <si>
    <t>2025-09-28</t>
  </si>
  <si>
    <t>CUST-10167</t>
  </si>
  <si>
    <t>ORD-100659</t>
  </si>
  <si>
    <t>2025-09-29</t>
  </si>
  <si>
    <t>ORD-100370</t>
  </si>
  <si>
    <t>2025-10-08</t>
  </si>
  <si>
    <t>CUST-10294</t>
  </si>
  <si>
    <t>ORD-100894</t>
  </si>
  <si>
    <t>2025-10-10</t>
  </si>
  <si>
    <t>Resistance Bands Set</t>
  </si>
  <si>
    <t>ORD-100833</t>
  </si>
  <si>
    <t>2025-10-11</t>
  </si>
  <si>
    <t>CUST-10153</t>
  </si>
  <si>
    <t>ORD-100138</t>
  </si>
  <si>
    <t>2025-10-16</t>
  </si>
  <si>
    <t>CUST-10246</t>
  </si>
  <si>
    <t>ORD-100371</t>
  </si>
  <si>
    <t>2025-10-25</t>
  </si>
  <si>
    <t>CUST-10228</t>
  </si>
  <si>
    <t>Manchester</t>
  </si>
  <si>
    <t>ORD-100849</t>
  </si>
  <si>
    <t>2025-10-28</t>
  </si>
  <si>
    <t>ORD-100839</t>
  </si>
  <si>
    <t>2025-11-05</t>
  </si>
  <si>
    <t>CUST-10145</t>
  </si>
  <si>
    <t>ORD-100225</t>
  </si>
  <si>
    <t>2025-11-08</t>
  </si>
  <si>
    <t>CUST-10218</t>
  </si>
  <si>
    <t>ORD-100953</t>
  </si>
  <si>
    <t>2025-11-09</t>
  </si>
  <si>
    <t>Beard Trimmer Pro</t>
  </si>
  <si>
    <t>ORD-100536</t>
  </si>
  <si>
    <t>CUST-10109</t>
  </si>
  <si>
    <t>ORD-100025</t>
  </si>
  <si>
    <t>2025-11-10</t>
  </si>
  <si>
    <t>CUST-10300</t>
  </si>
  <si>
    <t>ORD-100144</t>
  </si>
  <si>
    <t>2025-11-11</t>
  </si>
  <si>
    <t>ORD-100651</t>
  </si>
  <si>
    <t>Leather Belt</t>
  </si>
  <si>
    <t>ORD-100711</t>
  </si>
  <si>
    <t>2025-11-12</t>
  </si>
  <si>
    <t>CUST-10322</t>
  </si>
  <si>
    <t>ORD-100173</t>
  </si>
  <si>
    <t>2025-11-13</t>
  </si>
  <si>
    <t>CUST-10356</t>
  </si>
  <si>
    <t>ORD-100886</t>
  </si>
  <si>
    <t>2025-11-15</t>
  </si>
  <si>
    <t>ORD-100436</t>
  </si>
  <si>
    <t>2025-11-19</t>
  </si>
  <si>
    <t>CUST-10202</t>
  </si>
  <si>
    <t>ORD-100787</t>
  </si>
  <si>
    <t>2025-11-20</t>
  </si>
  <si>
    <t>ORD-100681</t>
  </si>
  <si>
    <t>2025-11-24</t>
  </si>
  <si>
    <t>ORD-100409</t>
  </si>
  <si>
    <t>CUST-10080</t>
  </si>
  <si>
    <t>ORD-100624</t>
  </si>
  <si>
    <t>CUST-10026</t>
  </si>
  <si>
    <t>Massachusetts</t>
  </si>
  <si>
    <t>San Antonio</t>
  </si>
  <si>
    <t>ORD-100462</t>
  </si>
  <si>
    <t>2025-11-25</t>
  </si>
  <si>
    <t>CUST-10295</t>
  </si>
  <si>
    <t>ORD-100929</t>
  </si>
  <si>
    <t>2025-11-27</t>
  </si>
  <si>
    <t>CUST-10309</t>
  </si>
  <si>
    <t>Hiking Backpack 50L</t>
  </si>
  <si>
    <t>ORD-100988</t>
  </si>
  <si>
    <t>2025-11-28</t>
  </si>
  <si>
    <t>CUST-10297</t>
  </si>
  <si>
    <t>Organic Chemistry 8e</t>
  </si>
  <si>
    <t>ORD-100083</t>
  </si>
  <si>
    <t>2025-11-29</t>
  </si>
  <si>
    <t>CUST-10122</t>
  </si>
  <si>
    <t>ORD-100726</t>
  </si>
  <si>
    <t>2025-12-02</t>
  </si>
  <si>
    <t>CUST-10049</t>
  </si>
  <si>
    <t>ORD-100982</t>
  </si>
  <si>
    <t>2025-12-03</t>
  </si>
  <si>
    <t>CUST-10132</t>
  </si>
  <si>
    <t>ORD-100063</t>
  </si>
  <si>
    <t>2025-12-07</t>
  </si>
  <si>
    <t>ORD-100130</t>
  </si>
  <si>
    <t>2025-12-11</t>
  </si>
  <si>
    <t>Treadmill Compact</t>
  </si>
  <si>
    <t>ORD-100841</t>
  </si>
  <si>
    <t>2025-12-12</t>
  </si>
  <si>
    <t>CUST-10222</t>
  </si>
  <si>
    <t>Frankfurt</t>
  </si>
  <si>
    <t>ORD-100583</t>
  </si>
  <si>
    <t>2025-12-14</t>
  </si>
  <si>
    <t>CUST-10196</t>
  </si>
  <si>
    <t>ORD-100606</t>
  </si>
  <si>
    <t>2025-12-15</t>
  </si>
  <si>
    <t>CUST-10342</t>
  </si>
  <si>
    <t>Pantry Shelf Unit</t>
  </si>
  <si>
    <t>ORD-100620</t>
  </si>
  <si>
    <t>2025-12-16</t>
  </si>
  <si>
    <t>Sleeping Bag 0F</t>
  </si>
  <si>
    <t>ORD-100158</t>
  </si>
  <si>
    <t>2025-12-19</t>
  </si>
  <si>
    <t>CUST-10069</t>
  </si>
  <si>
    <t>ORD-100818</t>
  </si>
  <si>
    <t>2025-12-21</t>
  </si>
  <si>
    <t>ORD-100966</t>
  </si>
  <si>
    <t>2025-12-23</t>
  </si>
  <si>
    <t>ORD-100543</t>
  </si>
  <si>
    <t>2025-12-24</t>
  </si>
  <si>
    <t>ORD-100016</t>
  </si>
  <si>
    <t>Scooter Pro</t>
  </si>
  <si>
    <t>ORD-100435</t>
  </si>
  <si>
    <t>2025-12-25</t>
  </si>
  <si>
    <t>CUST-10194</t>
  </si>
  <si>
    <t>ORD-100328</t>
  </si>
  <si>
    <t>CUST-10009</t>
  </si>
  <si>
    <t>ORD-100147</t>
  </si>
  <si>
    <t>ORD-100038</t>
  </si>
  <si>
    <t>2025-12-26</t>
  </si>
  <si>
    <t>ORD-100050</t>
  </si>
  <si>
    <t>2025-12-27</t>
  </si>
  <si>
    <t>CUST-10290</t>
  </si>
  <si>
    <t>mobile</t>
  </si>
  <si>
    <t>102-746-917</t>
  </si>
  <si>
    <t>camera</t>
  </si>
  <si>
    <t>849-271-647</t>
  </si>
  <si>
    <t>watches</t>
  </si>
  <si>
    <t>144-133-144</t>
  </si>
  <si>
    <t>Agent</t>
  </si>
  <si>
    <t>Calls</t>
  </si>
  <si>
    <t>Rahul</t>
  </si>
  <si>
    <t>Priya</t>
  </si>
  <si>
    <t>Amit</t>
  </si>
  <si>
    <t>Neha</t>
  </si>
  <si>
    <t>Arya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</si>
</sst>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58"/>
      <color theme="1"/>
      <name val="Calibri"/>
      <charset val="134"/>
      <scheme val="minor"/>
    </font>
    <font>
      <b/>
      <sz val="6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u/>
      <sz val="18"/>
      <color theme="10"/>
      <name val="Calibri"/>
      <charset val="134"/>
      <scheme val="minor"/>
    </font>
    <font>
      <u/>
      <sz val="14"/>
      <color theme="10"/>
      <name val="Calibri"/>
      <charset val="134"/>
      <scheme val="minor"/>
    </font>
    <font>
      <i/>
      <sz val="14"/>
      <color rgb="FF0432FF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2"/>
      <color theme="10"/>
      <name val="Calibri"/>
      <charset val="134"/>
      <scheme val="minor"/>
    </font>
    <font>
      <b/>
      <sz val="16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" fillId="0" borderId="0"/>
  </cellStyleXfs>
  <cellXfs count="27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2" borderId="0" xfId="0" applyFont="1" applyFill="1"/>
    <xf numFmtId="0" fontId="3" fillId="2" borderId="0" xfId="50" applyFill="1" applyAlignment="1">
      <alignment vertical="center"/>
    </xf>
    <xf numFmtId="0" fontId="3" fillId="2" borderId="0" xfId="50" applyFill="1"/>
    <xf numFmtId="0" fontId="3" fillId="0" borderId="1" xfId="50" applyBorder="1"/>
    <xf numFmtId="0" fontId="4" fillId="0" borderId="2" xfId="50" applyFont="1" applyBorder="1" applyAlignment="1">
      <alignment horizontal="center" vertical="center"/>
    </xf>
    <xf numFmtId="0" fontId="3" fillId="0" borderId="3" xfId="50" applyBorder="1"/>
    <xf numFmtId="0" fontId="3" fillId="0" borderId="4" xfId="50" applyBorder="1"/>
    <xf numFmtId="0" fontId="5" fillId="0" borderId="0" xfId="50" applyFont="1" applyAlignment="1">
      <alignment horizontal="center" vertical="center"/>
    </xf>
    <xf numFmtId="0" fontId="3" fillId="0" borderId="5" xfId="50" applyBorder="1"/>
    <xf numFmtId="0" fontId="3" fillId="0" borderId="0" xfId="50"/>
    <xf numFmtId="0" fontId="6" fillId="0" borderId="0" xfId="50" applyFont="1" applyAlignment="1">
      <alignment horizontal="center"/>
    </xf>
    <xf numFmtId="0" fontId="3" fillId="0" borderId="4" xfId="50" applyBorder="1" applyAlignment="1">
      <alignment vertical="center"/>
    </xf>
    <xf numFmtId="0" fontId="7" fillId="3" borderId="6" xfId="6" applyFont="1" applyFill="1" applyBorder="1" applyAlignment="1">
      <alignment horizontal="center" vertical="center"/>
    </xf>
    <xf numFmtId="0" fontId="3" fillId="0" borderId="5" xfId="50" applyBorder="1" applyAlignment="1">
      <alignment vertical="center"/>
    </xf>
    <xf numFmtId="0" fontId="8" fillId="0" borderId="0" xfId="6" applyFont="1"/>
    <xf numFmtId="0" fontId="9" fillId="0" borderId="0" xfId="49" applyFont="1" applyFill="1" applyBorder="1"/>
    <xf numFmtId="0" fontId="1" fillId="0" borderId="7" xfId="50" applyFont="1" applyBorder="1"/>
    <xf numFmtId="0" fontId="3" fillId="0" borderId="0" xfId="50" applyAlignment="1">
      <alignment vertical="top" wrapText="1"/>
    </xf>
    <xf numFmtId="0" fontId="3" fillId="0" borderId="8" xfId="50" applyBorder="1"/>
    <xf numFmtId="0" fontId="3" fillId="0" borderId="7" xfId="50" applyBorder="1"/>
    <xf numFmtId="0" fontId="3" fillId="0" borderId="9" xfId="50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 2" xfId="50"/>
  </cellStyles>
  <tableStyles count="0" defaultTableStyle="TableStyleMedium9" defaultPivotStyle="PivotStyleLight16"/>
  <colors>
    <mruColors>
      <color rgb="000736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50762.96</c:v>
                </c:pt>
              </c:numCache>
            </c:numRef>
          </c:val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Count of Order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204470"/>
        <c:axId val="631726636"/>
      </c:barChart>
      <c:catAx>
        <c:axId val="3232044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1726636"/>
        <c:crosses val="autoZero"/>
        <c:auto val="1"/>
        <c:lblAlgn val="ctr"/>
        <c:lblOffset val="100"/>
        <c:noMultiLvlLbl val="0"/>
      </c:catAx>
      <c:valAx>
        <c:axId val="6317266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2044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24fa70-9f36-4f7a-b178-940b1777b7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[ecommerce_sales.xlsx]Sheet3!PivotTable2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76</c:v>
                </c:pt>
                <c:pt idx="1">
                  <c:v>33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96</c:v>
                </c:pt>
                <c:pt idx="1">
                  <c:v>95</c:v>
                </c:pt>
                <c:pt idx="2">
                  <c:v>9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43</c:v>
                </c:pt>
                <c:pt idx="1">
                  <c:v>17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Middle East &amp; Africa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0">
                  <c:v>197</c:v>
                </c:pt>
                <c:pt idx="1">
                  <c:v>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395591"/>
        <c:axId val="933607529"/>
      </c:barChart>
      <c:catAx>
        <c:axId val="923395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607529"/>
        <c:crosses val="autoZero"/>
        <c:auto val="1"/>
        <c:lblAlgn val="ctr"/>
        <c:lblOffset val="100"/>
        <c:noMultiLvlLbl val="0"/>
      </c:catAx>
      <c:valAx>
        <c:axId val="9336075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9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20eaf5-b549-4d62-9173-47e6307838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37305" y="1402080"/>
          <a:ext cx="2648585" cy="9213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635000</xdr:colOff>
      <xdr:row>3</xdr:row>
      <xdr:rowOff>127000</xdr:rowOff>
    </xdr:from>
    <xdr:to>
      <xdr:col>18</xdr:col>
      <xdr:colOff>584200</xdr:colOff>
      <xdr:row>18</xdr:row>
      <xdr:rowOff>107950</xdr:rowOff>
    </xdr:to>
    <xdr:graphicFrame>
      <xdr:nvGraphicFramePr>
        <xdr:cNvPr id="2" name="Chart 1"/>
        <xdr:cNvGraphicFramePr/>
      </xdr:nvGraphicFramePr>
      <xdr:xfrm>
        <a:off x="9766300" y="679450"/>
        <a:ext cx="6350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1289050</xdr:colOff>
      <xdr:row>8</xdr:row>
      <xdr:rowOff>152400</xdr:rowOff>
    </xdr:from>
    <xdr:to>
      <xdr:col>6</xdr:col>
      <xdr:colOff>266700</xdr:colOff>
      <xdr:row>23</xdr:row>
      <xdr:rowOff>133350</xdr:rowOff>
    </xdr:to>
    <xdr:graphicFrame>
      <xdr:nvGraphicFramePr>
        <xdr:cNvPr id="2" name="Chart 1"/>
        <xdr:cNvGraphicFramePr/>
      </xdr:nvGraphicFramePr>
      <xdr:xfrm>
        <a:off x="2914650" y="1625600"/>
        <a:ext cx="5772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462280</xdr:colOff>
      <xdr:row>0</xdr:row>
      <xdr:rowOff>141605</xdr:rowOff>
    </xdr:from>
    <xdr:to>
      <xdr:col>11</xdr:col>
      <xdr:colOff>202565</xdr:colOff>
      <xdr:row>61</xdr:row>
      <xdr:rowOff>29845</xdr:rowOff>
    </xdr:to>
    <xdr:sp>
      <xdr:nvSpPr>
        <xdr:cNvPr id="2" name="Rectangle 1"/>
        <xdr:cNvSpPr/>
      </xdr:nvSpPr>
      <xdr:spPr>
        <a:xfrm>
          <a:off x="462280" y="141605"/>
          <a:ext cx="8192135" cy="1112139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ysClr val="windowText" lastClr="000000"/>
              </a:solidFill>
            </a:rPr>
            <a:t> </a:t>
          </a:r>
          <a:endParaRPr lang="en-GB" sz="1100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Prompt</a:t>
          </a:r>
          <a:r>
            <a:rPr lang="en-GB" sz="1100" b="1" baseline="0">
              <a:solidFill>
                <a:sysClr val="windowText" lastClr="000000"/>
              </a:solidFill>
            </a:rPr>
            <a:t> 1:</a:t>
          </a:r>
          <a:endParaRPr lang="en-GB" sz="1100" b="1" baseline="0">
            <a:solidFill>
              <a:sysClr val="windowText" lastClr="000000"/>
            </a:solidFill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</a:rPr>
            <a:t>Convert this into a searchable directory with filters and a sidebar. </a:t>
          </a:r>
          <a:endParaRPr lang="en-GB" sz="1100" b="0" baseline="0">
            <a:solidFill>
              <a:sysClr val="windowText" lastClr="000000"/>
            </a:solidFill>
          </a:endParaRP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Prompt</a:t>
          </a:r>
          <a:r>
            <a:rPr lang="en-GB" sz="1100" b="1" baseline="0">
              <a:solidFill>
                <a:sysClr val="windowText" lastClr="000000"/>
              </a:solidFill>
            </a:rPr>
            <a:t> 2:</a:t>
          </a:r>
          <a:endParaRPr lang="en-GB" sz="1100" b="0" baseline="0">
            <a:solidFill>
              <a:sysClr val="windowText" lastClr="000000"/>
            </a:solidFill>
          </a:endParaRPr>
        </a:p>
        <a:p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Add a Dashboard view to this app alongside the existing Orders Directory.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Add a top-level tab switcher with two views: "Directory" (the current page) and "Dashboard" (new). Keep all existing functionality intact.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Dashboard layout (top to bottom):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KPI row — 4 scorecards across the top: 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Revenue (sum of order value)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Orders (count)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Average Order Value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Unique Customers (count distinct by city, as a proxy)</a:t>
          </a:r>
          <a:b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Each card shows the headline number large, with a smaller "vs previous period" delta underneath in green/red.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Charts row — 2 charts side by side: 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Revenue over time — line chart, monthly, x-axis = order date, y-axis = revenue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Revenue by Category — horizontal bar chart, sorted descending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Breakdown row — 3 smaller cards: 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Channel mix — donut chart (Website, Marketplace, Mobile App, Physical Store, Social Commerce)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Segment mix — donut chart (New, Returning, VIP, At-Risk)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Top 5 products by revenue — simple ranked list with revenue figures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Geographic breakdown — full-width section: bar chart of revenue by region (Asia Pacific, Europe, Latin America, etc.)</a:t>
          </a:r>
          <a:endParaRPr lang="en-GB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Behavior: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Dashboard respects the same filters as the directory (category, region, segment, channel, payment). Filters live in the sidebar on both views.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Add a date range picker at the top of the Dashboard (default: last 90 days).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Make all charts respect the current filter state — changing a filter updates both the directory and the dashboard.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Use a consistent color palette across all charts (one accent color for primary metrics, neutral grays for secondary).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Charts should have tooltips on hover showing exact values.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Visual style: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Match the existing card aesthetic — same rounded corners, same subtle borders, same typography.</a:t>
          </a:r>
          <a:endParaRPr lang="en-GB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fontAlgn="ctr"/>
          <a:r>
            <a:rPr lang="en-GB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Keep it clean and minimal. No 3D charts, no gradients, no chart junk.</a:t>
          </a:r>
          <a:endParaRPr lang="en-GB" sz="1100" b="0">
            <a:solidFill>
              <a:sysClr val="windowText" lastClr="000000"/>
            </a:solidFill>
          </a:endParaRPr>
        </a:p>
        <a:p>
          <a:pPr algn="l"/>
          <a:r>
            <a:rPr lang="en-GB" sz="1100">
              <a:solidFill>
                <a:sysClr val="windowText" lastClr="000000"/>
              </a:solidFill>
            </a:rPr>
            <a:t> </a:t>
          </a:r>
          <a:endParaRPr lang="en-GB" sz="1100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Prompt</a:t>
          </a:r>
          <a:r>
            <a:rPr lang="en-GB" sz="1100" b="1" baseline="0">
              <a:solidFill>
                <a:sysClr val="windowText" lastClr="000000"/>
              </a:solidFill>
            </a:rPr>
            <a:t> 3:</a:t>
          </a:r>
          <a:endParaRPr lang="en-GB" sz="1100" b="1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Make a drill down where inside of the dashboard, we can click on a certain visual to breakdown that data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 b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100" b="1">
              <a:solidFill>
                <a:sysClr val="windowText" lastClr="000000"/>
              </a:solidFill>
            </a:rPr>
            <a:t>Prompt</a:t>
          </a:r>
          <a:r>
            <a:rPr lang="en-GB" sz="1100" b="1" baseline="0">
              <a:solidFill>
                <a:sysClr val="windowText" lastClr="000000"/>
              </a:solidFill>
            </a:rPr>
            <a:t> 4:</a:t>
          </a:r>
          <a:endParaRPr lang="en-GB" sz="1100" b="1" baseline="0">
            <a:solidFill>
              <a:sysClr val="windowText" lastClr="000000"/>
            </a:solidFill>
          </a:endParaRPr>
        </a:p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Brand this app as Career Principles. For reference the Career Principles website is careerprinciples.com.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Logo: attached, place top-left in the header.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Primary color #056CF2 (bright blue) — buttons, links, active filters, chart accents, "Live" dot.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Deep color #073673 (navy) — header background, headings, secondary chart color.</a:t>
          </a:r>
          <a:b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Feel free to add any other colors you think make sense.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Apply consistently across Directory and Dashboard — including tooltips, dropdowns, and date pickers.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/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Prompt</a:t>
          </a:r>
          <a:r>
            <a:rPr lang="en-GB" sz="1100" b="1" baseline="0">
              <a:solidFill>
                <a:sysClr val="windowText" lastClr="000000"/>
              </a:solidFill>
            </a:rPr>
            <a:t> 5:</a:t>
          </a:r>
          <a:endParaRPr lang="en-GB" sz="1100" b="1" baseline="0">
            <a:solidFill>
              <a:sysClr val="windowText" lastClr="000000"/>
            </a:solidFill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Add an "Export CSV" button to the Directory view.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Place it in the top-right, next to the search bar.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 click, export only the currently filtered and searched results (not the full dataset).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Include all visible fields as columns, with clean header names (e.g. "Order ID" not "orderId").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100" b="1">
              <a:solidFill>
                <a:sysClr val="windowText" lastClr="000000"/>
              </a:solidFill>
            </a:rPr>
            <a:t>Prompt</a:t>
          </a:r>
          <a:r>
            <a:rPr lang="en-GB" sz="1100" b="1" baseline="0">
              <a:solidFill>
                <a:sysClr val="windowText" lastClr="000000"/>
              </a:solidFill>
            </a:rPr>
            <a:t> 6: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Replace the current hardcoded data with a live fetch using the Excel connector.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Under the OneDrive, connect to an Excel file called ecommerce_sales.xlsx.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Requirements: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Fetch on initial load and show a loading state (skeleton cards) while data is loading.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Re-fetch every 30 seconds in the background to stay in sync.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a fetch fails, keep showing the last successful data and log the error — don't blank the page.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Add a small "Live" indicator with a green pulsing dot in the header, plus the text "Last updated: [time]".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0" fontAlgn="ctr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Both the directory and the dashboard should use this same data source.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3.0154050926" refreshedBy="HP" recordCount="250">
  <cacheSource type="worksheet">
    <worksheetSource ref="A1:AE251" sheet="Data"/>
  </cacheSource>
  <cacheFields count="31">
    <cacheField name="Order ID" numFmtId="0">
      <sharedItems count="250">
        <s v="ORD-100082"/>
        <s v="ORD-100709"/>
        <s v="ORD-100629"/>
        <s v="ORD-100808"/>
        <s v="ORD-100935"/>
        <s v="ORD-100398"/>
        <s v="ORD-100817"/>
        <s v="ORD-100862"/>
        <s v="ORD-100487"/>
        <s v="ORD-100947"/>
        <s v="ORD-100248"/>
        <s v="ORD-100282"/>
        <s v="ORD-100369"/>
        <s v="ORD-100663"/>
        <s v="ORD-100259"/>
        <s v="ORD-100950"/>
        <s v="ORD-100049"/>
        <s v="ORD-100676"/>
        <s v="ORD-100274"/>
        <s v="ORD-100546"/>
        <s v="ORD-100202"/>
        <s v="ORD-100604"/>
        <s v="ORD-100408"/>
        <s v="ORD-100090"/>
        <s v="ORD-100418"/>
        <s v="ORD-100987"/>
        <s v="ORD-100224"/>
        <s v="ORD-100167"/>
        <s v="ORD-100616"/>
        <s v="ORD-100559"/>
        <s v="ORD-100661"/>
        <s v="ORD-100210"/>
        <s v="ORD-100442"/>
        <s v="ORD-100402"/>
        <s v="ORD-100832"/>
        <s v="ORD-100287"/>
        <s v="ORD-100304"/>
        <s v="ORD-100735"/>
        <s v="ORD-100701"/>
        <s v="ORD-100125"/>
        <s v="ORD-100280"/>
        <s v="ORD-100460"/>
        <s v="ORD-100465"/>
        <s v="ORD-100294"/>
        <s v="ORD-100174"/>
        <s v="ORD-100844"/>
        <s v="ORD-100207"/>
        <s v="ORD-100927"/>
        <s v="ORD-100069"/>
        <s v="ORD-100175"/>
        <s v="ORD-100057"/>
        <s v="ORD-100672"/>
        <s v="ORD-100021"/>
        <s v="ORD-100303"/>
        <s v="ORD-100254"/>
        <s v="ORD-100104"/>
        <s v="ORD-100879"/>
        <s v="ORD-100646"/>
        <s v="ORD-100157"/>
        <s v="ORD-100888"/>
        <s v="ORD-100091"/>
        <s v="ORD-100885"/>
        <s v="ORD-100992"/>
        <s v="ORD-100220"/>
        <s v="ORD-100608"/>
        <s v="ORD-100291"/>
        <s v="ORD-100100"/>
        <s v="ORD-100744"/>
        <s v="ORD-100127"/>
        <s v="ORD-100219"/>
        <s v="ORD-100004"/>
        <s v="ORD-100712"/>
        <s v="ORD-100731"/>
        <s v="ORD-100918"/>
        <s v="ORD-100822"/>
        <s v="ORD-100700"/>
        <s v="ORD-100407"/>
        <s v="ORD-100846"/>
        <s v="ORD-100591"/>
        <s v="ORD-100679"/>
        <s v="ORD-100855"/>
        <s v="ORD-100724"/>
        <s v="ORD-100489"/>
        <s v="ORD-100961"/>
        <s v="ORD-100829"/>
        <s v="ORD-100329"/>
        <s v="ORD-100464"/>
        <s v="ORD-100276"/>
        <s v="ORD-100203"/>
        <s v="ORD-100277"/>
        <s v="ORD-100444"/>
        <s v="ORD-100434"/>
        <s v="ORD-100631"/>
        <s v="ORD-100969"/>
        <s v="ORD-100757"/>
        <s v="ORD-100240"/>
        <s v="ORD-100360"/>
        <s v="ORD-100071"/>
        <s v="ORD-100683"/>
        <s v="ORD-100826"/>
        <s v="ORD-100732"/>
        <s v="ORD-100445"/>
        <s v="ORD-100964"/>
        <s v="ORD-100028"/>
        <s v="ORD-100027"/>
        <s v="ORD-100765"/>
        <s v="ORD-100361"/>
        <s v="ORD-100106"/>
        <s v="ORD-100268"/>
        <s v="ORD-100910"/>
        <s v="ORD-100151"/>
        <s v="ORD-100521"/>
        <s v="ORD-100120"/>
        <s v="ORD-100236"/>
        <s v="ORD-100204"/>
        <s v="ORD-100705"/>
        <s v="ORD-100146"/>
        <s v="ORD-100562"/>
        <s v="ORD-100001"/>
        <s v="ORD-100278"/>
        <s v="ORD-100944"/>
        <s v="ORD-100110"/>
        <s v="ORD-100632"/>
        <s v="ORD-100708"/>
        <s v="ORD-100824"/>
        <s v="ORD-100531"/>
        <s v="ORD-100247"/>
        <s v="ORD-100060"/>
        <s v="ORD-100137"/>
        <s v="ORD-100269"/>
        <s v="ORD-100694"/>
        <s v="ORD-100767"/>
        <s v="ORD-100281"/>
        <s v="ORD-100506"/>
        <s v="ORD-100480"/>
        <s v="ORD-100126"/>
        <s v="ORD-100645"/>
        <s v="ORD-100313"/>
        <s v="ORD-100748"/>
        <s v="ORD-100321"/>
        <s v="ORD-100752"/>
        <s v="ORD-100861"/>
        <s v="ORD-100930"/>
        <s v="ORD-101000"/>
        <s v="ORD-100770"/>
        <s v="ORD-100209"/>
        <s v="ORD-100600"/>
        <s v="ORD-100417"/>
        <s v="ORD-100431"/>
        <s v="ORD-100870"/>
        <s v="ORD-100999"/>
        <s v="ORD-100307"/>
        <s v="ORD-100607"/>
        <s v="ORD-100617"/>
        <s v="ORD-100459"/>
        <s v="ORD-100208"/>
        <s v="ORD-100796"/>
        <s v="ORD-100256"/>
        <s v="ORD-100544"/>
        <s v="ORD-100387"/>
        <s v="ORD-100512"/>
        <s v="ORD-100072"/>
        <s v="ORD-100812"/>
        <s v="ORD-100797"/>
        <s v="ORD-100230"/>
        <s v="ORD-100802"/>
        <s v="ORD-100502"/>
        <s v="ORD-100976"/>
        <s v="ORD-100806"/>
        <s v="ORD-100941"/>
        <s v="ORD-100714"/>
        <s v="ORD-100284"/>
        <s v="ORD-100177"/>
        <s v="ORD-100184"/>
        <s v="ORD-100697"/>
        <s v="ORD-100478"/>
        <s v="ORD-100037"/>
        <s v="ORD-100805"/>
        <s v="ORD-100421"/>
        <s v="ORD-100164"/>
        <s v="ORD-100237"/>
        <s v="ORD-100243"/>
        <s v="ORD-100305"/>
        <s v="ORD-100501"/>
        <s v="ORD-100688"/>
        <s v="ORD-100919"/>
        <s v="ORD-100588"/>
        <s v="ORD-100548"/>
        <s v="ORD-100211"/>
        <s v="ORD-100781"/>
        <s v="ORD-100121"/>
        <s v="ORD-100350"/>
        <s v="ORD-100481"/>
        <s v="ORD-100605"/>
        <s v="ORD-100867"/>
        <s v="ORD-100840"/>
        <s v="ORD-100334"/>
        <s v="ORD-100768"/>
        <s v="ORD-100597"/>
        <s v="ORD-100835"/>
        <s v="ORD-100997"/>
        <s v="ORD-100685"/>
        <s v="ORD-100793"/>
        <s v="ORD-100848"/>
        <s v="ORD-100438"/>
        <s v="ORD-100956"/>
        <s v="ORD-100659"/>
        <s v="ORD-100370"/>
        <s v="ORD-100894"/>
        <s v="ORD-100833"/>
        <s v="ORD-100138"/>
        <s v="ORD-100371"/>
        <s v="ORD-100849"/>
        <s v="ORD-100839"/>
        <s v="ORD-100225"/>
        <s v="ORD-100953"/>
        <s v="ORD-100536"/>
        <s v="ORD-100025"/>
        <s v="ORD-100144"/>
        <s v="ORD-100651"/>
        <s v="ORD-100711"/>
        <s v="ORD-100173"/>
        <s v="ORD-100886"/>
        <s v="ORD-100436"/>
        <s v="ORD-100787"/>
        <s v="ORD-100681"/>
        <s v="ORD-100409"/>
        <s v="ORD-100624"/>
        <s v="ORD-100462"/>
        <s v="ORD-100929"/>
        <s v="ORD-100988"/>
        <s v="ORD-100083"/>
        <s v="ORD-100726"/>
        <s v="ORD-100982"/>
        <s v="ORD-100063"/>
        <s v="ORD-100130"/>
        <s v="ORD-100841"/>
        <s v="ORD-100583"/>
        <s v="ORD-100606"/>
        <s v="ORD-100620"/>
        <s v="ORD-100158"/>
        <s v="ORD-100818"/>
        <s v="ORD-100966"/>
        <s v="ORD-100543"/>
        <s v="ORD-100016"/>
        <s v="ORD-100435"/>
        <s v="ORD-100328"/>
        <s v="ORD-100147"/>
        <s v="ORD-100038"/>
        <s v="ORD-100050"/>
      </sharedItems>
    </cacheField>
    <cacheField name="Order Date" numFmtId="0">
      <sharedItems count="212">
        <s v="2024-01-06"/>
        <s v="2024-01-11"/>
        <s v="2024-01-15"/>
        <s v="2024-01-23"/>
        <s v="2024-01-31"/>
        <s v="2024-02-04"/>
        <s v="2024-02-08"/>
        <s v="2024-02-09"/>
        <s v="2024-02-13"/>
        <s v="2024-02-14"/>
        <s v="2024-02-15"/>
        <s v="2024-02-20"/>
        <s v="2024-02-22"/>
        <s v="2024-02-23"/>
        <s v="2024-03-01"/>
        <s v="2024-03-03"/>
        <s v="2024-03-05"/>
        <s v="2024-03-06"/>
        <s v="2024-03-07"/>
        <s v="2024-03-09"/>
        <s v="2024-03-11"/>
        <s v="2024-03-14"/>
        <s v="2024-03-15"/>
        <s v="2024-03-16"/>
        <s v="2024-03-17"/>
        <s v="2024-03-18"/>
        <s v="2024-03-19"/>
        <s v="2024-03-30"/>
        <s v="2024-03-31"/>
        <s v="2024-04-04"/>
        <s v="2024-04-07"/>
        <s v="2024-04-08"/>
        <s v="2024-04-11"/>
        <s v="2024-04-12"/>
        <s v="2024-04-25"/>
        <s v="2024-05-06"/>
        <s v="2024-05-07"/>
        <s v="2024-05-10"/>
        <s v="2024-05-13"/>
        <s v="2024-05-21"/>
        <s v="2024-05-23"/>
        <s v="2024-05-28"/>
        <s v="2024-06-02"/>
        <s v="2024-06-04"/>
        <s v="2024-06-07"/>
        <s v="2024-06-11"/>
        <s v="2024-06-12"/>
        <s v="2024-06-16"/>
        <s v="2024-06-28"/>
        <s v="2024-07-06"/>
        <s v="2024-07-12"/>
        <s v="2024-07-14"/>
        <s v="2024-07-21"/>
        <s v="2024-07-28"/>
        <s v="2024-08-04"/>
        <s v="2024-08-12"/>
        <s v="2024-08-13"/>
        <s v="2024-08-14"/>
        <s v="2024-08-15"/>
        <s v="2024-08-17"/>
        <s v="2024-08-23"/>
        <s v="2024-09-05"/>
        <s v="2024-09-07"/>
        <s v="2024-09-08"/>
        <s v="2024-09-20"/>
        <s v="2024-09-22"/>
        <s v="2024-09-24"/>
        <s v="2024-09-25"/>
        <s v="2024-09-26"/>
        <s v="2024-09-27"/>
        <s v="2024-10-01"/>
        <s v="2024-10-05"/>
        <s v="2024-10-06"/>
        <s v="2024-10-07"/>
        <s v="2024-10-09"/>
        <s v="2024-10-12"/>
        <s v="2024-10-13"/>
        <s v="2024-10-16"/>
        <s v="2024-10-18"/>
        <s v="2024-10-22"/>
        <s v="2024-10-30"/>
        <s v="2024-11-01"/>
        <s v="2024-11-03"/>
        <s v="2024-11-04"/>
        <s v="2024-11-07"/>
        <s v="2024-11-11"/>
        <s v="2024-11-12"/>
        <s v="2024-11-13"/>
        <s v="2024-11-14"/>
        <s v="2024-11-18"/>
        <s v="2024-11-19"/>
        <s v="2024-11-20"/>
        <s v="2024-11-23"/>
        <s v="2024-11-26"/>
        <s v="2024-11-27"/>
        <s v="2024-11-28"/>
        <s v="2024-11-29"/>
        <s v="2024-12-03"/>
        <s v="2024-12-04"/>
        <s v="2024-12-05"/>
        <s v="2024-12-10"/>
        <s v="2024-12-12"/>
        <s v="2024-12-15"/>
        <s v="2024-12-17"/>
        <s v="2024-12-19"/>
        <s v="2024-12-22"/>
        <s v="2024-12-24"/>
        <s v="2024-12-28"/>
        <s v="2025-01-04"/>
        <s v="2025-01-15"/>
        <s v="2025-01-21"/>
        <s v="2025-01-24"/>
        <s v="2025-01-25"/>
        <s v="2025-01-27"/>
        <s v="2025-01-29"/>
        <s v="2025-02-05"/>
        <s v="2025-02-06"/>
        <s v="2025-02-08"/>
        <s v="2025-02-10"/>
        <s v="2025-02-14"/>
        <s v="2025-02-15"/>
        <s v="2025-02-18"/>
        <s v="2025-02-19"/>
        <s v="2025-02-21"/>
        <s v="2025-02-25"/>
        <s v="2025-02-26"/>
        <s v="2025-03-09"/>
        <s v="2025-03-12"/>
        <s v="2025-03-13"/>
        <s v="2025-03-22"/>
        <s v="2025-03-25"/>
        <s v="2025-03-30"/>
        <s v="2025-04-01"/>
        <s v="2025-04-05"/>
        <s v="2025-04-07"/>
        <s v="2025-04-08"/>
        <s v="2025-04-10"/>
        <s v="2025-04-14"/>
        <s v="2025-04-15"/>
        <s v="2025-04-18"/>
        <s v="2025-04-21"/>
        <s v="2025-04-23"/>
        <s v="2025-04-26"/>
        <s v="2025-04-30"/>
        <s v="2025-05-03"/>
        <s v="2025-05-05"/>
        <s v="2025-05-10"/>
        <s v="2025-05-20"/>
        <s v="2025-05-22"/>
        <s v="2025-05-24"/>
        <s v="2025-05-27"/>
        <s v="2025-05-28"/>
        <s v="2025-06-02"/>
        <s v="2025-06-03"/>
        <s v="2025-06-05"/>
        <s v="2025-06-07"/>
        <s v="2025-06-11"/>
        <s v="2025-06-12"/>
        <s v="2025-06-19"/>
        <s v="2025-06-21"/>
        <s v="2025-06-25"/>
        <s v="2025-07-16"/>
        <s v="2025-08-03"/>
        <s v="2025-08-08"/>
        <s v="2025-08-12"/>
        <s v="2025-08-15"/>
        <s v="2025-08-26"/>
        <s v="2025-09-01"/>
        <s v="2025-09-04"/>
        <s v="2025-09-07"/>
        <s v="2025-09-09"/>
        <s v="2025-09-12"/>
        <s v="2025-09-23"/>
        <s v="2025-09-27"/>
        <s v="2025-09-28"/>
        <s v="2025-09-29"/>
        <s v="2025-10-08"/>
        <s v="2025-10-10"/>
        <s v="2025-10-11"/>
        <s v="2025-10-16"/>
        <s v="2025-10-25"/>
        <s v="2025-10-28"/>
        <s v="2025-11-05"/>
        <s v="2025-11-08"/>
        <s v="2025-11-09"/>
        <s v="2025-11-10"/>
        <s v="2025-11-11"/>
        <s v="2025-11-12"/>
        <s v="2025-11-13"/>
        <s v="2025-11-15"/>
        <s v="2025-11-19"/>
        <s v="2025-11-20"/>
        <s v="2025-11-24"/>
        <s v="2025-11-25"/>
        <s v="2025-11-27"/>
        <s v="2025-11-28"/>
        <s v="2025-11-29"/>
        <s v="2025-12-02"/>
        <s v="2025-12-03"/>
        <s v="2025-12-07"/>
        <s v="2025-12-11"/>
        <s v="2025-12-12"/>
        <s v="2025-12-14"/>
        <s v="2025-12-15"/>
        <s v="2025-12-16"/>
        <s v="2025-12-19"/>
        <s v="2025-12-21"/>
        <s v="2025-12-23"/>
        <s v="2025-12-24"/>
        <s v="2025-12-25"/>
        <s v="2025-12-26"/>
        <s v="2025-12-27"/>
      </sharedItems>
    </cacheField>
    <cacheField name="Customer ID" numFmtId="0">
      <sharedItems count="182">
        <s v="CUST-10212"/>
        <s v="CUST-10399"/>
        <s v="CUST-10067"/>
        <s v="CUST-10266"/>
        <s v="CUST-10068"/>
        <s v="CUST-10286"/>
        <s v="CUST-10195"/>
        <s v="CUST-10341"/>
        <s v="CUST-10262"/>
        <s v="CUST-10366"/>
        <s v="CUST-10007"/>
        <s v="CUST-10271"/>
        <s v="CUST-10185"/>
        <s v="CUST-10187"/>
        <s v="CUST-10233"/>
        <s v="CUST-10092"/>
        <s v="CUST-10282"/>
        <s v="CUST-10381"/>
        <s v="CUST-10043"/>
        <s v="CUST-10112"/>
        <s v="CUST-10355"/>
        <s v="CUST-10047"/>
        <s v="CUST-10158"/>
        <s v="CUST-10216"/>
        <s v="CUST-10320"/>
        <s v="CUST-10114"/>
        <s v="CUST-10267"/>
        <s v="CUST-10181"/>
        <s v="CUST-10240"/>
        <s v="CUST-10382"/>
        <s v="CUST-10055"/>
        <s v="CUST-10307"/>
        <s v="CUST-10301"/>
        <s v="CUST-10250"/>
        <s v="CUST-10139"/>
        <s v="CUST-10398"/>
        <s v="CUST-10397"/>
        <s v="CUST-10126"/>
        <s v="CUST-10044"/>
        <s v="CUST-10003"/>
        <s v="CUST-10314"/>
        <s v="CUST-10022"/>
        <s v="CUST-10276"/>
        <s v="CUST-10058"/>
        <s v="CUST-10211"/>
        <s v="CUST-10168"/>
        <s v="CUST-10128"/>
        <s v="CUST-10097"/>
        <s v="CUST-10217"/>
        <s v="CUST-10378"/>
        <s v="CUST-10045"/>
        <s v="CUST-10375"/>
        <s v="CUST-10101"/>
        <s v="CUST-10387"/>
        <s v="CUST-10325"/>
        <s v="CUST-10121"/>
        <s v="CUST-10393"/>
        <s v="CUST-10104"/>
        <s v="CUST-10075"/>
        <s v="CUST-10209"/>
        <s v="CUST-10041"/>
        <s v="CUST-10277"/>
        <s v="CUST-10340"/>
        <s v="CUST-10206"/>
        <s v="CUST-10086"/>
        <s v="CUST-10040"/>
        <s v="CUST-10166"/>
        <s v="CUST-10157"/>
        <s v="CUST-10363"/>
        <s v="CUST-10061"/>
        <s v="CUST-10299"/>
        <s v="CUST-10311"/>
        <s v="CUST-10160"/>
        <s v="CUST-10141"/>
        <s v="CUST-10255"/>
        <s v="CUST-10073"/>
        <s v="CUST-10008"/>
        <s v="CUST-10394"/>
        <s v="CUST-10018"/>
        <s v="CUST-10161"/>
        <s v="CUST-10225"/>
        <s v="CUST-10352"/>
        <s v="CUST-10146"/>
        <s v="CUST-10235"/>
        <s v="CUST-10099"/>
        <s v="CUST-10305"/>
        <s v="CUST-10289"/>
        <s v="CUST-10197"/>
        <s v="CUST-10268"/>
        <s v="CUST-10090"/>
        <s v="CUST-10278"/>
        <s v="CUST-10180"/>
        <s v="CUST-10270"/>
        <s v="CUST-10037"/>
        <s v="CUST-10391"/>
        <s v="CUST-10082"/>
        <s v="CUST-10319"/>
        <s v="CUST-10125"/>
        <s v="CUST-10285"/>
        <s v="CUST-10344"/>
        <s v="CUST-10283"/>
        <s v="CUST-10032"/>
        <s v="CUST-10162"/>
        <s v="CUST-10188"/>
        <s v="CUST-10177"/>
        <s v="CUST-10052"/>
        <s v="CUST-10184"/>
        <s v="CUST-10210"/>
        <s v="CUST-10306"/>
        <s v="CUST-10119"/>
        <s v="CUST-10054"/>
        <s v="CUST-10074"/>
        <s v="CUST-10249"/>
        <s v="CUST-10230"/>
        <s v="CUST-10142"/>
        <s v="CUST-10027"/>
        <s v="CUST-10060"/>
        <s v="CUST-10042"/>
        <s v="CUST-10064"/>
        <s v="CUST-10231"/>
        <s v="CUST-10192"/>
        <s v="CUST-10274"/>
        <s v="CUST-10136"/>
        <s v="CUST-10389"/>
        <s v="CUST-10331"/>
        <s v="CUST-10236"/>
        <s v="CUST-10237"/>
        <s v="CUST-10287"/>
        <s v="CUST-10303"/>
        <s v="CUST-10367"/>
        <s v="CUST-10347"/>
        <s v="CUST-10108"/>
        <s v="CUST-10118"/>
        <s v="CUST-10368"/>
        <s v="CUST-10261"/>
        <s v="CUST-10339"/>
        <s v="CUST-10120"/>
        <s v="CUST-10241"/>
        <s v="CUST-10182"/>
        <s v="CUST-10017"/>
        <s v="CUST-10062"/>
        <s v="CUST-10200"/>
        <s v="CUST-10284"/>
        <s v="CUST-10013"/>
        <s v="CUST-10103"/>
        <s v="CUST-10065"/>
        <s v="CUST-10000"/>
        <s v="CUST-10304"/>
        <s v="CUST-10143"/>
        <s v="CUST-10312"/>
        <s v="CUST-10242"/>
        <s v="CUST-10170"/>
        <s v="CUST-10046"/>
        <s v="CUST-10130"/>
        <s v="CUST-10348"/>
        <s v="CUST-10167"/>
        <s v="CUST-10294"/>
        <s v="CUST-10153"/>
        <s v="CUST-10246"/>
        <s v="CUST-10228"/>
        <s v="CUST-10145"/>
        <s v="CUST-10218"/>
        <s v="CUST-10109"/>
        <s v="CUST-10300"/>
        <s v="CUST-10322"/>
        <s v="CUST-10356"/>
        <s v="CUST-10202"/>
        <s v="CUST-10080"/>
        <s v="CUST-10026"/>
        <s v="CUST-10295"/>
        <s v="CUST-10309"/>
        <s v="CUST-10297"/>
        <s v="CUST-10122"/>
        <s v="CUST-10049"/>
        <s v="CUST-10132"/>
        <s v="CUST-10222"/>
        <s v="CUST-10196"/>
        <s v="CUST-10342"/>
        <s v="CUST-10069"/>
        <s v="CUST-10194"/>
        <s v="CUST-10009"/>
        <s v="CUST-10290"/>
      </sharedItems>
    </cacheField>
    <cacheField name="Customer Segment" numFmtId="0">
      <sharedItems count="4">
        <s v="At-Risk"/>
        <s v="VIP"/>
        <s v="Returning"/>
        <s v="New"/>
      </sharedItems>
    </cacheField>
    <cacheField name="Customer Age" numFmtId="0">
      <sharedItems containsSemiMixedTypes="0" containsString="0" containsNumber="1" containsInteger="1" minValue="0" maxValue="78" count="45">
        <n v="50"/>
        <n v="54"/>
        <n v="51"/>
        <n v="59"/>
        <n v="42"/>
        <n v="36"/>
        <n v="43"/>
        <n v="41"/>
        <n v="18"/>
        <n v="40"/>
        <n v="47"/>
        <n v="19"/>
        <n v="37"/>
        <n v="29"/>
        <n v="28"/>
        <n v="58"/>
        <n v="30"/>
        <n v="34"/>
        <n v="38"/>
        <n v="24"/>
        <n v="22"/>
        <n v="27"/>
        <n v="39"/>
        <n v="35"/>
        <n v="26"/>
        <n v="21"/>
        <n v="55"/>
        <n v="25"/>
        <n v="57"/>
        <n v="52"/>
        <n v="66"/>
        <n v="32"/>
        <n v="62"/>
        <n v="61"/>
        <n v="48"/>
        <n v="78"/>
        <n v="44"/>
        <n v="49"/>
        <n v="46"/>
        <n v="31"/>
        <n v="53"/>
        <n v="56"/>
        <n v="45"/>
        <n v="23"/>
        <n v="65"/>
      </sharedItems>
    </cacheField>
    <cacheField name="Customer Gender" numFmtId="0">
      <sharedItems count="3">
        <s v="Male"/>
        <s v="Female"/>
        <s v="Non-Binary"/>
      </sharedItems>
    </cacheField>
    <cacheField name="Region" numFmtId="0">
      <sharedItems count="5">
        <s v="Europe"/>
        <s v="Asia Pacific"/>
        <s v="North America"/>
        <s v="Latin America"/>
        <s v="Middle East &amp; Africa"/>
      </sharedItems>
    </cacheField>
    <cacheField name="Country" numFmtId="0">
      <sharedItems count="22">
        <s v="United Kingdom"/>
        <s v="Japan"/>
        <s v="Mexico"/>
        <s v="Singapore"/>
        <s v="Argentina"/>
        <s v="France"/>
        <s v="United States"/>
        <s v="Saudi Arabia"/>
        <s v="United Arab Emirates"/>
        <s v="Canada"/>
        <s v="Chile"/>
        <s v="Australia"/>
        <s v="Colombia"/>
        <s v="Italy"/>
        <s v="Netherlands"/>
        <s v="Spain"/>
        <s v="Hong Kong"/>
        <s v="Brazil"/>
        <s v="South Korea"/>
        <s v="Germany"/>
        <s v="Sweden"/>
        <s v="South Africa"/>
      </sharedItems>
    </cacheField>
    <cacheField name="State/Province" numFmtId="0">
      <sharedItems containsBlank="1" count="12">
        <m/>
        <s v="Illinois"/>
        <s v="New York"/>
        <s v="Washington"/>
        <s v="Texas"/>
        <s v="Missouri"/>
        <s v="Colorado"/>
        <s v="California"/>
        <s v="Wisconsin"/>
        <s v="Oregon"/>
        <s v="Virginia"/>
        <s v="Massachusetts"/>
      </sharedItems>
    </cacheField>
    <cacheField name="City" numFmtId="0">
      <sharedItems count="64">
        <s v="Bristol"/>
        <s v="Yokohama"/>
        <s v="Monterrey"/>
        <s v="Singapore"/>
        <s v="Cordoba"/>
        <s v="Tokyo"/>
        <s v="Toulouse"/>
        <s v="Seattle"/>
        <s v="Jeddah"/>
        <s v="Dubai"/>
        <s v="Montreal"/>
        <s v="Mexico City"/>
        <s v="Valparaiso"/>
        <s v="Phoenix"/>
        <s v="Atlanta"/>
        <s v="Vancouver"/>
        <s v="Sydney"/>
        <s v="Medellin"/>
        <s v="Guadalajara"/>
        <s v="Calgary"/>
        <s v="London"/>
        <s v="Naples"/>
        <s v="Ottawa"/>
        <s v="Paris"/>
        <s v="Edinburgh"/>
        <s v="Philadelphia"/>
        <s v="Rotterdam"/>
        <s v="Amsterdam"/>
        <s v="Milan"/>
        <s v="Barcelona"/>
        <s v="Hong Kong"/>
        <s v="San Diego"/>
        <s v="Toronto"/>
        <s v="Buenos Aires"/>
        <s v="Rio de Janeiro"/>
        <s v="Brisbane"/>
        <s v="Busan"/>
        <s v="Berlin"/>
        <s v="Seoul"/>
        <s v="Stockholm"/>
        <s v="Turin"/>
        <s v="Santiago"/>
        <s v="Bogota"/>
        <s v="Seville"/>
        <s v="Boston"/>
        <s v="Johannesburg"/>
        <s v="Madrid"/>
        <s v="Melbourne"/>
        <s v="Lyon"/>
        <s v="Chicago"/>
        <s v="Malmo"/>
        <s v="Dallas"/>
        <s v="Kyoto"/>
        <s v="Denver"/>
        <s v="Munich"/>
        <s v="Los Angeles"/>
        <s v="Gothenburg"/>
        <s v="Birmingham"/>
        <s v="Hamburg"/>
        <s v="Miami"/>
        <s v="The Hague"/>
        <s v="Manchester"/>
        <s v="San Antonio"/>
        <s v="Frankfurt"/>
      </sharedItems>
    </cacheField>
    <cacheField name="Product Name" numFmtId="0">
      <sharedItems count="132">
        <s v="Egyptian Cotton Sheets"/>
        <s v="Intro to Psychology"/>
        <s v="UltraBook Pro 14"/>
        <s v="VlogShot 4K"/>
        <s v="Tennis Racket Carbon"/>
        <s v="DrawTab Studio"/>
        <s v="Woven Throw Blanket"/>
        <s v="Under-Bed Bin"/>
        <s v="Down Comforter Queen"/>
        <s v="Olive Oil EVOO 1L"/>
        <s v="Pasta Variety Pack"/>
        <s v="Sparkling Water 24pk"/>
        <s v="Oak Dining Table"/>
        <s v="Puzzle Kingdom"/>
        <s v="Soccer Goal Set"/>
        <s v="Wicker Basket Set"/>
        <s v="Canvas Sneakers"/>
        <s v="Mid-Century Sofa"/>
        <s v="Tailored Blouse"/>
        <s v="Slim Chino Pants"/>
        <s v="Volumizing Mascara"/>
        <s v="Linen Duvet Cover"/>
        <s v="iPhase 14"/>
        <s v="Hair Clipper Cordless"/>
        <s v="TabPro 11"/>
        <s v="Compression Leggings"/>
        <s v="Velvet Accent Chair"/>
        <s v="Basketball Indoor"/>
        <s v="Monopoly Deluxe"/>
        <s v="Brick City 1500pc"/>
        <s v="Bookshelf 5-Tier"/>
        <s v="Mindset Forge"/>
        <s v="Scented Candle Set"/>
        <s v="Ceramic Table Lamp"/>
        <s v="FlexBook Duo"/>
        <s v="PixelView 8"/>
        <s v="Linen Jumpsuit"/>
        <s v="Classic Oxford Shirt"/>
        <s v="The Innovator's Code"/>
        <s v="Earl Grey Loose Leaf"/>
        <s v="Aviator Sunglasses"/>
        <s v="StudioMonitor M50"/>
        <s v="Yoga Strap 8ft"/>
        <s v="Quinoa Organic 2lb"/>
        <s v="Goodnight Galaxy"/>
        <s v="Yoga Mat Premium"/>
        <s v="Adjustable Dumbbells"/>
        <s v="Sea Salt Flakes"/>
        <s v="Where the Stars Hide"/>
        <s v="QuietWave 700"/>
        <s v="Liquid Foundation"/>
        <s v="Closet Organizer"/>
        <s v="Ankle Boots"/>
        <s v="Running Trainers"/>
        <s v="Speed Racer X"/>
        <s v="Galaxy Edge S"/>
        <s v="Velvet Matte Lipstick"/>
        <s v="Setting Powder"/>
        <s v="Memory Foam Pillow"/>
        <s v="Science Lab Junior"/>
        <s v="ProBook X1"/>
        <s v="Non-Stick Frypan"/>
        <s v="AirSlim 13"/>
        <s v="OneFlex 11"/>
        <s v="Cork Yoga Block"/>
        <s v="Espresso Machine Pro"/>
        <s v="PowerStation 15"/>
        <s v="Audiobook: Mindset Forge"/>
        <s v="FitTrack Series 7"/>
        <s v="Trampoline 12ft"/>
        <s v="Audiobook: The Last Library"/>
        <s v="High-Waist Jeans"/>
        <s v="SoundCore Elite"/>
        <s v="Toaster 4-Slice"/>
        <s v="Cold Brew Coffee 6pk"/>
        <s v="SportBand Active"/>
        <s v="Performance Hoodie"/>
        <s v="Knit Sweater"/>
        <s v="Cast Iron Skillet 12in"/>
        <s v="Coding Caterpillar"/>
        <s v="Saddle Bag"/>
        <s v="SlateView 10"/>
        <s v="Repair Conditioner"/>
        <s v="Dry Shampoo"/>
        <s v="Saffron Threads 2g"/>
        <s v="Crew Neck Tee"/>
        <s v="Hydrating Moisturizer"/>
        <s v="The Cartographer's Daughter"/>
        <s v="Soccer Ball Pro"/>
        <s v="Vitamin C Serum 30ml"/>
        <s v="Math Manipulatives"/>
        <s v="Stand Mixer 5qt"/>
        <s v="Wool Scarf"/>
        <s v="Wool Blend Blazer"/>
        <s v="ActionCam Pro"/>
        <s v="Manuka Honey 250g"/>
        <s v="A-Line Skirt"/>
        <s v="FlexPad Mini"/>
        <s v="Meditation Cushion"/>
        <s v="Space Station Build"/>
        <s v="Sports Bra Pro"/>
        <s v="ZenMobile X"/>
        <s v="Wrap Midi Dress"/>
        <s v="Training Shorts"/>
        <s v="Kombucha Variety 12pk"/>
        <s v="Aftershave Balm"/>
        <s v="Abstract Wall Art"/>
        <s v="Silk Tie"/>
        <s v="Saltwater Symphony"/>
        <s v="Citrus Cologne"/>
        <s v="BeatLine Sport"/>
        <s v="Camp Stove Dual"/>
        <s v="Calculus Vol 2"/>
        <s v="Eyeshadow Palette 12"/>
        <s v="Single Origin Coffee 1lb"/>
        <s v="Safety Razor Set"/>
        <s v="Stainless Saucepan Set"/>
        <s v="Audiobook: Atomic Discipline"/>
        <s v="Nexus Pro 12"/>
        <s v="Cashmere Cardigan"/>
        <s v="Catan Voyages"/>
        <s v="The Last Library"/>
        <s v="PulseWatch Pro"/>
        <s v="Resistance Bands Set"/>
        <s v="Beard Trimmer Pro"/>
        <s v="Leather Belt"/>
        <s v="Hiking Backpack 50L"/>
        <s v="Organic Chemistry 8e"/>
        <s v="Treadmill Compact"/>
        <s v="Pantry Shelf Unit"/>
        <s v="Sleeping Bag 0F"/>
        <s v="Scooter Pro"/>
      </sharedItems>
    </cacheField>
    <cacheField name="Category" numFmtId="0">
      <sharedItems count="8">
        <s v="Home &amp; Kitchen"/>
        <s v="Books &amp; Media"/>
        <s v="Electronics"/>
        <s v="Sports &amp; Outdoors"/>
        <s v="Grocery &amp; Gourmet"/>
        <s v="Toys &amp; Games"/>
        <s v="Apparel"/>
        <s v="Beauty &amp; Personal Care"/>
      </sharedItems>
    </cacheField>
    <cacheField name="Sub-Category" numFmtId="0">
      <sharedItems count="41">
        <s v="Bedding"/>
        <s v="Textbooks"/>
        <s v="Laptops"/>
        <s v="Cameras"/>
        <s v="Team Sports"/>
        <s v="Tablets"/>
        <s v="Decor"/>
        <s v="Storage"/>
        <s v="Pantry"/>
        <s v="Beverages"/>
        <s v="Furniture"/>
        <s v="Video Games"/>
        <s v="Outdoor Toys"/>
        <s v="Footwear"/>
        <s v="Women's Clothing"/>
        <s v="Men's Clothing"/>
        <s v="Makeup"/>
        <s v="Smartphones"/>
        <s v="Grooming"/>
        <s v="Activewear"/>
        <s v="Board Games"/>
        <s v="Building Sets"/>
        <s v="Non-Fiction"/>
        <s v="Coffee &amp; Tea"/>
        <s v="Accessories"/>
        <s v="Headphones"/>
        <s v="Yoga"/>
        <s v="Children's Books"/>
        <s v="Fitness Equipment"/>
        <s v="Educational Toys"/>
        <s v="Cookware"/>
        <s v="Small Appliances"/>
        <s v="Audiobooks"/>
        <s v="Smartwatches"/>
        <s v="Cycling"/>
        <s v="Haircare"/>
        <s v="Specialty Foods"/>
        <s v="Skincare"/>
        <s v="Fiction"/>
        <s v="Fragrance"/>
        <s v="Camping"/>
      </sharedItems>
    </cacheField>
    <cacheField name="Quantity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Unit Price" numFmtId="0">
      <sharedItems containsSemiMixedTypes="0" containsString="0" containsNumber="1" minValue="0" maxValue="1825.54" count="249">
        <n v="69.84"/>
        <n v="26.24"/>
        <n v="82.43"/>
        <n v="1057.98"/>
        <n v="211.18"/>
        <n v="86.68"/>
        <n v="1565.66"/>
        <n v="157.95"/>
        <n v="29.99"/>
        <n v="181.59"/>
        <n v="8.97"/>
        <n v="33.33"/>
        <n v="9.38"/>
        <n v="54.09"/>
        <n v="296.89"/>
        <n v="48.62"/>
        <n v="70.66"/>
        <n v="65.72"/>
        <n v="664.75"/>
        <n v="199.08"/>
        <n v="82.38"/>
        <n v="16.28"/>
        <n v="124.45"/>
        <n v="960.58"/>
        <n v="72.48"/>
        <n v="107.76"/>
        <n v="16.41"/>
        <n v="486.55"/>
        <n v="49.99"/>
        <n v="130.69"/>
        <n v="71.72"/>
        <n v="298.12"/>
        <n v="132.52"/>
        <n v="364.27"/>
        <n v="112.05"/>
        <n v="28.12"/>
        <n v="108.25"/>
        <n v="87.21"/>
        <n v="133.64"/>
        <n v="26.51"/>
        <n v="524.37"/>
        <n v="97.52"/>
        <n v="824"/>
        <n v="112.96"/>
        <n v="40"/>
        <n v="79.75"/>
        <n v="21.86"/>
        <n v="57.25"/>
        <n v="29.34"/>
        <n v="429.53"/>
        <n v="37.03"/>
        <n v="470.23"/>
        <n v="201.41"/>
        <n v="308.48"/>
        <n v="39.15"/>
        <n v="25.9"/>
        <n v="76.74"/>
        <n v="69.33"/>
        <n v="456.78"/>
        <n v="9.89"/>
        <n v="26.21"/>
        <n v="721.31"/>
        <n v="272.66"/>
        <n v="57.15"/>
        <n v="153.09"/>
        <n v="27.02"/>
        <n v="20.07"/>
        <n v="24.83"/>
        <n v="431.37"/>
        <n v="9.24"/>
        <n v="56.07"/>
        <n v="28.09"/>
        <n v="65.1"/>
        <n v="16.99"/>
        <n v="111.8"/>
        <n v="51.43"/>
        <n v="145.23"/>
        <n v="143.46"/>
        <n v="79.42"/>
        <n v="524.84"/>
        <n v="159.15"/>
        <n v="348.37"/>
        <n v="255.76"/>
        <n v="171.45"/>
        <n v="78.02"/>
        <n v="20.16"/>
        <n v="448.34"/>
        <n v="1145.28"/>
        <n v="361.66"/>
        <n v="217.58"/>
        <n v="20.67"/>
        <n v="497.57"/>
        <n v="480.81"/>
        <n v="519.05"/>
        <n v="94.06"/>
        <n v="1247.75"/>
        <n v="51.91"/>
        <n v="39.51"/>
        <n v="627.1"/>
        <n v="109.72"/>
        <n v="16.32"/>
        <n v="63.72"/>
        <n v="740.07"/>
        <n v="113.3"/>
        <n v="22.28"/>
        <n v="21.09"/>
        <n v="334.96"/>
        <n v="84.41"/>
        <n v="187.69"/>
        <n v="57.5"/>
        <n v="66.39"/>
        <n v="36.44"/>
        <n v="59.04"/>
        <n v="289.42"/>
        <n v="122.87"/>
        <n v="1293.73"/>
        <n v="35.64"/>
        <n v="49.66"/>
        <n v="18.74"/>
        <n v="25.59"/>
        <n v="6.88"/>
        <n v="16.02"/>
        <n v="8.76"/>
        <n v="31.98"/>
        <n v="14.02"/>
        <n v="209.31"/>
        <n v="663.35"/>
        <n v="56.19"/>
        <n v="506.72"/>
        <n v="8.66"/>
        <n v="54.74"/>
        <n v="12.21"/>
        <n v="410.68"/>
        <n v="541.84"/>
        <n v="101.18"/>
        <n v="112.49"/>
        <n v="43.09"/>
        <n v="88.11"/>
        <n v="50.09"/>
        <n v="48.17"/>
        <n v="51.17"/>
        <n v="421.3"/>
        <n v="20.9"/>
        <n v="7.55"/>
        <n v="22.62"/>
        <n v="27.8"/>
        <n v="37.63"/>
        <n v="20.99"/>
        <n v="207.19"/>
        <n v="448.18"/>
        <n v="1343.32"/>
        <n v="190.5"/>
        <n v="81.37"/>
        <n v="19.14"/>
        <n v="45.67"/>
        <n v="82.63"/>
        <n v="93.33"/>
        <n v="16.4"/>
        <n v="79.9"/>
        <n v="45.95"/>
        <n v="80.43"/>
        <n v="48.48"/>
        <n v="85.04"/>
        <n v="25.79"/>
        <n v="216.65"/>
        <n v="95.47"/>
        <n v="8.26"/>
        <n v="590.51"/>
        <n v="9.75"/>
        <n v="24.17"/>
        <n v="286.17"/>
        <n v="28.77"/>
        <n v="300.83"/>
        <n v="93.1"/>
        <n v="257.19"/>
        <n v="26.35"/>
        <n v="182.95"/>
        <n v="18.85"/>
        <n v="26.28"/>
        <n v="75.21"/>
        <n v="22.02"/>
        <n v="118.55"/>
        <n v="1116.88"/>
        <n v="37.7"/>
        <n v="214.11"/>
        <n v="235.92"/>
        <n v="599.58"/>
        <n v="300.52"/>
        <n v="402.44"/>
        <n v="12.43"/>
        <n v="214.16"/>
        <n v="24.03"/>
        <n v="23.64"/>
        <n v="60.03"/>
        <n v="10.3"/>
        <n v="121.46"/>
        <n v="82.98"/>
        <n v="74.67"/>
        <n v="24.62"/>
        <n v="203.54"/>
        <n v="21.2"/>
        <n v="14.23"/>
        <n v="179.3"/>
        <n v="270.33"/>
        <n v="426.83"/>
        <n v="993.61"/>
        <n v="803.09"/>
        <n v="162.33"/>
        <n v="179.64"/>
        <n v="16.72"/>
        <n v="78.34"/>
        <n v="1118.65"/>
        <n v="308.05"/>
        <n v="42.99"/>
        <n v="10.38"/>
        <n v="32.64"/>
        <n v="222.12"/>
        <n v="68.14"/>
        <n v="72.66"/>
        <n v="44.36"/>
        <n v="120.78"/>
        <n v="206.26"/>
        <n v="35.29"/>
        <n v="47.89"/>
        <n v="12.49"/>
        <n v="8.75"/>
        <n v="1825.54"/>
        <n v="337.89"/>
        <n v="45.09"/>
        <n v="18.15"/>
        <n v="252.11"/>
        <n v="16.96"/>
        <n v="240.39"/>
        <n v="28.34"/>
        <n v="105.9"/>
        <n v="38.62"/>
        <n v="130.58"/>
        <n v="685.73"/>
        <n v="35.55"/>
        <n v="721.13"/>
        <n v="58.5"/>
        <n v="1110.86"/>
        <n v="28.46"/>
        <n v="60.48"/>
        <n v="33.9"/>
        <n v="16.85"/>
        <n v="434.7"/>
        <n v="595.66"/>
        <n v="66.98"/>
      </sharedItems>
    </cacheField>
    <cacheField name="Gross Revenue" numFmtId="0">
      <sharedItems containsSemiMixedTypes="0" containsString="0" containsNumber="1" minValue="0" maxValue="4696.98" count="248">
        <n v="139.68"/>
        <n v="26.24"/>
        <n v="82.43"/>
        <n v="2115.96"/>
        <n v="422.36"/>
        <n v="86.68"/>
        <n v="4696.98"/>
        <n v="157.95"/>
        <n v="29.99"/>
        <n v="181.59"/>
        <n v="8.97"/>
        <n v="99.99"/>
        <n v="18.76"/>
        <n v="162.27"/>
        <n v="593.78"/>
        <n v="48.62"/>
        <n v="141.32"/>
        <n v="65.72"/>
        <n v="1994.25"/>
        <n v="199.08"/>
        <n v="164.76"/>
        <n v="16.28"/>
        <n v="124.45"/>
        <n v="960.58"/>
        <n v="72.48"/>
        <n v="107.76"/>
        <n v="65.64"/>
        <n v="486.55"/>
        <n v="49.99"/>
        <n v="130.69"/>
        <n v="286.88"/>
        <n v="596.24"/>
        <n v="132.52"/>
        <n v="364.27"/>
        <n v="224.1"/>
        <n v="56.24"/>
        <n v="216.5"/>
        <n v="174.42"/>
        <n v="133.64"/>
        <n v="79.53"/>
        <n v="524.37"/>
        <n v="195.04"/>
        <n v="824"/>
        <n v="451.84"/>
        <n v="80"/>
        <n v="79.75"/>
        <n v="65.58"/>
        <n v="57.25"/>
        <n v="29.34"/>
        <n v="429.53"/>
        <n v="37.03"/>
        <n v="470.23"/>
        <n v="201.41"/>
        <n v="616.96"/>
        <n v="39.15"/>
        <n v="25.9"/>
        <n v="76.74"/>
        <n v="69.33"/>
        <n v="456.78"/>
        <n v="9.89"/>
        <n v="52.42"/>
        <n v="721.31"/>
        <n v="272.66"/>
        <n v="57.15"/>
        <n v="306.18"/>
        <n v="27.02"/>
        <n v="20.07"/>
        <n v="24.83"/>
        <n v="431.37"/>
        <n v="18.48"/>
        <n v="56.07"/>
        <n v="28.09"/>
        <n v="130.2"/>
        <n v="50.97"/>
        <n v="223.6"/>
        <n v="154.29"/>
        <n v="290.46"/>
        <n v="143.46"/>
        <n v="317.68"/>
        <n v="524.84"/>
        <n v="159.15"/>
        <n v="348.37"/>
        <n v="1278.8"/>
        <n v="171.45"/>
        <n v="78.02"/>
        <n v="20.16"/>
        <n v="2241.7"/>
        <n v="2290.56"/>
        <n v="361.66"/>
        <n v="217.58"/>
        <n v="20.67"/>
        <n v="995.14"/>
        <n v="480.81"/>
        <n v="519.05"/>
        <n v="94.06"/>
        <n v="2495.5"/>
        <n v="103.82"/>
        <n v="39.51"/>
        <n v="627.1"/>
        <n v="109.72"/>
        <n v="32.64"/>
        <n v="63.72"/>
        <n v="1480.14"/>
        <n v="113.3"/>
        <n v="22.28"/>
        <n v="42.18"/>
        <n v="334.96"/>
        <n v="168.82"/>
        <n v="187.69"/>
        <n v="57.5"/>
        <n v="66.39"/>
        <n v="72.88"/>
        <n v="59.04"/>
        <n v="289.42"/>
        <n v="245.74"/>
        <n v="2587.46"/>
        <n v="71.28"/>
        <n v="49.66"/>
        <n v="93.7"/>
        <n v="25.59"/>
        <n v="6.88"/>
        <n v="32.04"/>
        <n v="17.52"/>
        <n v="63.96"/>
        <n v="14.02"/>
        <n v="209.31"/>
        <n v="663.35"/>
        <n v="56.19"/>
        <n v="1013.44"/>
        <n v="25.98"/>
        <n v="218.96"/>
        <n v="24.42"/>
        <n v="410.68"/>
        <n v="1083.68"/>
        <n v="101.18"/>
        <n v="224.98"/>
        <n v="129.27"/>
        <n v="88.11"/>
        <n v="200.36"/>
        <n v="48.17"/>
        <n v="102.34"/>
        <n v="2106.5"/>
        <n v="83.6"/>
        <n v="7.55"/>
        <n v="22.62"/>
        <n v="55.6"/>
        <n v="188.15"/>
        <n v="20.99"/>
        <n v="414.38"/>
        <n v="896.36"/>
        <n v="1343.32"/>
        <n v="190.5"/>
        <n v="162.74"/>
        <n v="19.14"/>
        <n v="45.67"/>
        <n v="82.63"/>
        <n v="93.33"/>
        <n v="82"/>
        <n v="79.9"/>
        <n v="45.95"/>
        <n v="80.43"/>
        <n v="96.96"/>
        <n v="170.08"/>
        <n v="25.79"/>
        <n v="216.65"/>
        <n v="95.47"/>
        <n v="8.26"/>
        <n v="590.51"/>
        <n v="9.75"/>
        <n v="48.34"/>
        <n v="286.17"/>
        <n v="28.77"/>
        <n v="300.83"/>
        <n v="279.3"/>
        <n v="514.38"/>
        <n v="26.35"/>
        <n v="182.95"/>
        <n v="37.7"/>
        <n v="26.28"/>
        <n v="75.21"/>
        <n v="88.08"/>
        <n v="237.1"/>
        <n v="1116.88"/>
        <n v="214.11"/>
        <n v="943.68"/>
        <n v="1798.74"/>
        <n v="300.52"/>
        <n v="402.44"/>
        <n v="37.29"/>
        <n v="214.16"/>
        <n v="48.06"/>
        <n v="23.64"/>
        <n v="60.03"/>
        <n v="10.3"/>
        <n v="121.46"/>
        <n v="248.94"/>
        <n v="74.67"/>
        <n v="24.62"/>
        <n v="203.54"/>
        <n v="106"/>
        <n v="14.23"/>
        <n v="179.3"/>
        <n v="270.33"/>
        <n v="426.83"/>
        <n v="993.61"/>
        <n v="803.09"/>
        <n v="162.33"/>
        <n v="359.28"/>
        <n v="17.94"/>
        <n v="33.44"/>
        <n v="156.68"/>
        <n v="1118.65"/>
        <n v="308.05"/>
        <n v="42.99"/>
        <n v="20.76"/>
        <n v="666.36"/>
        <n v="204.42"/>
        <n v="72.66"/>
        <n v="133.08"/>
        <n v="120.78"/>
        <n v="206.26"/>
        <n v="35.29"/>
        <n v="47.89"/>
        <n v="12.49"/>
        <n v="8.75"/>
        <n v="3651.08"/>
        <n v="1013.67"/>
        <n v="45.09"/>
        <n v="18.15"/>
        <n v="252.11"/>
        <n v="16.96"/>
        <n v="240.39"/>
        <n v="85.02"/>
        <n v="317.7"/>
        <n v="154.48"/>
        <n v="130.58"/>
        <n v="685.73"/>
        <n v="35.55"/>
        <n v="2884.52"/>
        <n v="117"/>
        <n v="1110.86"/>
        <n v="56.92"/>
        <n v="60.48"/>
        <n v="33.9"/>
        <n v="16.85"/>
        <n v="1304.1"/>
        <n v="595.66"/>
        <n v="133.96"/>
      </sharedItems>
    </cacheField>
    <cacheField name="Discount %" numFmtId="0">
      <sharedItems containsSemiMixedTypes="0" containsString="0" containsNumber="1" minValue="0" maxValue="0.3" count="7">
        <n v="0.05"/>
        <n v="0.2"/>
        <n v="0.1"/>
        <n v="0"/>
        <n v="0.15"/>
        <n v="0.3"/>
        <n v="0.25"/>
      </sharedItems>
    </cacheField>
    <cacheField name="Discount Amount" numFmtId="0">
      <sharedItems containsSemiMixedTypes="0" containsString="0" containsNumber="1" minValue="0" maxValue="388.12" count="154">
        <n v="6.98"/>
        <n v="5.25"/>
        <n v="8.24"/>
        <n v="0"/>
        <n v="63.35"/>
        <n v="13"/>
        <n v="36.32"/>
        <n v="30"/>
        <n v="1.88"/>
        <n v="24.34"/>
        <n v="29.69"/>
        <n v="4.86"/>
        <n v="9.86"/>
        <n v="299.14"/>
        <n v="2.44"/>
        <n v="192.12"/>
        <n v="5.39"/>
        <n v="16.41"/>
        <n v="24.33"/>
        <n v="2.5"/>
        <n v="26.14"/>
        <n v="57.38"/>
        <n v="59.62"/>
        <n v="32.48"/>
        <n v="20.05"/>
        <n v="41.2"/>
        <n v="11.96"/>
        <n v="4.4"/>
        <n v="21.48"/>
        <n v="3.7"/>
        <n v="20.14"/>
        <n v="30.85"/>
        <n v="1.96"/>
        <n v="3.47"/>
        <n v="22.84"/>
        <n v="5.24"/>
        <n v="108.2"/>
        <n v="27.27"/>
        <n v="8.57"/>
        <n v="5.4"/>
        <n v="2.48"/>
        <n v="21.57"/>
        <n v="5.61"/>
        <n v="4.21"/>
        <n v="13.02"/>
        <n v="15.29"/>
        <n v="33.54"/>
        <n v="43.57"/>
        <n v="23.87"/>
        <n v="127.88"/>
        <n v="17.14"/>
        <n v="4.03"/>
        <n v="224.17"/>
        <n v="36.17"/>
        <n v="43.52"/>
        <n v="149.27"/>
        <n v="24.04"/>
        <n v="9.41"/>
        <n v="31.15"/>
        <n v="94.06"/>
        <n v="8.16"/>
        <n v="6.37"/>
        <n v="148.01"/>
        <n v="16.99"/>
        <n v="2.23"/>
        <n v="4.22"/>
        <n v="8.44"/>
        <n v="18.77"/>
        <n v="5.75"/>
        <n v="6.64"/>
        <n v="5.9"/>
        <n v="36.86"/>
        <n v="388.12"/>
        <n v="10.69"/>
        <n v="4.97"/>
        <n v="4.69"/>
        <n v="3.84"/>
        <n v="1.75"/>
        <n v="3.5"/>
        <n v="20.93"/>
        <n v="99.5"/>
        <n v="10.95"/>
        <n v="1.22"/>
        <n v="38.78"/>
        <n v="4.41"/>
        <n v="5.12"/>
        <n v="12.54"/>
        <n v="28.22"/>
        <n v="1.05"/>
        <n v="67.17"/>
        <n v="16.27"/>
        <n v="1.91"/>
        <n v="16.53"/>
        <n v="4.1"/>
        <n v="4"/>
        <n v="4.6"/>
        <n v="4.02"/>
        <n v="9.7"/>
        <n v="34.02"/>
        <n v="10.83"/>
        <n v="28.64"/>
        <n v="88.58"/>
        <n v="2.88"/>
        <n v="27.93"/>
        <n v="154.31"/>
        <n v="3.77"/>
        <n v="3.94"/>
        <n v="3.76"/>
        <n v="8.81"/>
        <n v="35.56"/>
        <n v="279.22"/>
        <n v="179.87"/>
        <n v="45.08"/>
        <n v="40.24"/>
        <n v="9.32"/>
        <n v="10.71"/>
        <n v="12.02"/>
        <n v="6.07"/>
        <n v="24.89"/>
        <n v="14.93"/>
        <n v="3.69"/>
        <n v="40.71"/>
        <n v="15.9"/>
        <n v="8.97"/>
        <n v="13.52"/>
        <n v="42.68"/>
        <n v="200.77"/>
        <n v="32.47"/>
        <n v="0.9"/>
        <n v="1.67"/>
        <n v="31.34"/>
        <n v="279.66"/>
        <n v="15.4"/>
        <n v="66.64"/>
        <n v="30.66"/>
        <n v="14.53"/>
        <n v="19.96"/>
        <n v="18.12"/>
        <n v="3.53"/>
        <n v="0.62"/>
        <n v="2.19"/>
        <n v="304.1"/>
        <n v="4.51"/>
        <n v="25.21"/>
        <n v="3.39"/>
        <n v="8.5"/>
        <n v="15.45"/>
        <n v="13.06"/>
        <n v="34.29"/>
        <n v="5.33"/>
        <n v="8.54"/>
        <n v="9.07"/>
        <n v="130.41"/>
        <n v="119.13"/>
      </sharedItems>
    </cacheField>
    <cacheField name="Net Revenue" numFmtId="0">
      <sharedItems containsSemiMixedTypes="0" containsString="0" containsNumber="1" minValue="0" maxValue="4696.98" count="250">
        <n v="132.7"/>
        <n v="20.99"/>
        <n v="74.19"/>
        <n v="2115.96"/>
        <n v="359.01"/>
        <n v="73.68"/>
        <n v="4696.98"/>
        <n v="157.95"/>
        <n v="29.99"/>
        <n v="145.27"/>
        <n v="8.97"/>
        <n v="69.99"/>
        <n v="16.88"/>
        <n v="137.93"/>
        <n v="564.09"/>
        <n v="43.76"/>
        <n v="141.32"/>
        <n v="55.86"/>
        <n v="1695.11"/>
        <n v="199.08"/>
        <n v="164.76"/>
        <n v="13.84"/>
        <n v="124.45"/>
        <n v="768.46"/>
        <n v="72.48"/>
        <n v="102.37"/>
        <n v="49.23"/>
        <n v="462.22"/>
        <n v="47.49"/>
        <n v="104.55"/>
        <n v="229.5"/>
        <n v="536.62"/>
        <n v="132.52"/>
        <n v="364.27"/>
        <n v="224.1"/>
        <n v="56.24"/>
        <n v="184.02"/>
        <n v="174.42"/>
        <n v="113.59"/>
        <n v="79.53"/>
        <n v="524.37"/>
        <n v="195.04"/>
        <n v="782.8"/>
        <n v="451.84"/>
        <n v="80"/>
        <n v="67.79"/>
        <n v="65.58"/>
        <n v="57.25"/>
        <n v="24.94"/>
        <n v="408.05"/>
        <n v="33.33"/>
        <n v="470.23"/>
        <n v="181.27"/>
        <n v="586.11"/>
        <n v="37.19"/>
        <n v="25.9"/>
        <n v="76.74"/>
        <n v="65.86"/>
        <n v="433.94"/>
        <n v="9.89"/>
        <n v="47.18"/>
        <n v="613.11"/>
        <n v="245.39"/>
        <n v="48.58"/>
        <n v="306.18"/>
        <n v="21.62"/>
        <n v="20.07"/>
        <n v="22.35"/>
        <n v="409.8"/>
        <n v="18.48"/>
        <n v="50.46"/>
        <n v="23.88"/>
        <n v="117.18"/>
        <n v="35.68"/>
        <n v="190.06"/>
        <n v="154.29"/>
        <n v="246.89"/>
        <n v="143.46"/>
        <n v="317.68"/>
        <n v="524.84"/>
        <n v="135.28"/>
        <n v="348.37"/>
        <n v="1150.92"/>
        <n v="154.31"/>
        <n v="78.02"/>
        <n v="16.13"/>
        <n v="2017.53"/>
        <n v="2290.56"/>
        <n v="325.49"/>
        <n v="174.06"/>
        <n v="20.67"/>
        <n v="845.87"/>
        <n v="456.77"/>
        <n v="519.05"/>
        <n v="84.65"/>
        <n v="2495.5"/>
        <n v="72.67"/>
        <n v="39.51"/>
        <n v="533.04"/>
        <n v="109.72"/>
        <n v="24.48"/>
        <n v="57.35"/>
        <n v="1332.13"/>
        <n v="96.31"/>
        <n v="20.05"/>
        <n v="37.96"/>
        <n v="334.96"/>
        <n v="160.38"/>
        <n v="168.92"/>
        <n v="51.75"/>
        <n v="59.75"/>
        <n v="72.88"/>
        <n v="53.14"/>
        <n v="289.42"/>
        <n v="208.88"/>
        <n v="2199.34"/>
        <n v="60.59"/>
        <n v="44.69"/>
        <n v="89.01"/>
        <n v="21.75"/>
        <n v="6.88"/>
        <n v="32.04"/>
        <n v="15.77"/>
        <n v="63.96"/>
        <n v="10.52"/>
        <n v="188.38"/>
        <n v="563.85"/>
        <n v="56.19"/>
        <n v="1013.44"/>
        <n v="25.98"/>
        <n v="208.01"/>
        <n v="23.2"/>
        <n v="410.68"/>
        <n v="1083.68"/>
        <n v="101.18"/>
        <n v="224.98"/>
        <n v="90.49"/>
        <n v="83.7"/>
        <n v="200.36"/>
        <n v="48.17"/>
        <n v="97.22"/>
        <n v="2106.5"/>
        <n v="71.06"/>
        <n v="7.55"/>
        <n v="22.62"/>
        <n v="55.6"/>
        <n v="159.93"/>
        <n v="19.94"/>
        <n v="414.38"/>
        <n v="896.36"/>
        <n v="1276.15"/>
        <n v="190.5"/>
        <n v="146.47"/>
        <n v="17.23"/>
        <n v="45.67"/>
        <n v="66.1"/>
        <n v="93.33"/>
        <n v="77.9"/>
        <n v="75.9"/>
        <n v="41.35"/>
        <n v="76.41"/>
        <n v="87.26"/>
        <n v="136.06"/>
        <n v="25.79"/>
        <n v="205.82"/>
        <n v="66.83"/>
        <n v="8.26"/>
        <n v="501.93"/>
        <n v="9.75"/>
        <n v="48.34"/>
        <n v="286.17"/>
        <n v="25.89"/>
        <n v="300.83"/>
        <n v="251.37"/>
        <n v="360.07"/>
        <n v="26.35"/>
        <n v="182.95"/>
        <n v="33.93"/>
        <n v="22.34"/>
        <n v="71.45"/>
        <n v="79.27"/>
        <n v="201.54"/>
        <n v="837.66"/>
        <n v="37.7"/>
        <n v="214.11"/>
        <n v="943.68"/>
        <n v="1618.87"/>
        <n v="255.44"/>
        <n v="362.2"/>
        <n v="27.97"/>
        <n v="203.45"/>
        <n v="36.04"/>
        <n v="23.64"/>
        <n v="60.03"/>
        <n v="10.3"/>
        <n v="115.39"/>
        <n v="224.05"/>
        <n v="59.74"/>
        <n v="20.93"/>
        <n v="162.83"/>
        <n v="90.1"/>
        <n v="14.23"/>
        <n v="170.33"/>
        <n v="256.81"/>
        <n v="384.15"/>
        <n v="993.61"/>
        <n v="602.32"/>
        <n v="129.86"/>
        <n v="359.28"/>
        <n v="17.04"/>
        <n v="31.77"/>
        <n v="125.34"/>
        <n v="838.99"/>
        <n v="292.65"/>
        <n v="42.99"/>
        <n v="20.76"/>
        <n v="32.64"/>
        <n v="599.72"/>
        <n v="173.76"/>
        <n v="58.13"/>
        <n v="113.12"/>
        <n v="102.66"/>
        <n v="206.26"/>
        <n v="31.76"/>
        <n v="47.89"/>
        <n v="11.87"/>
        <n v="6.56"/>
        <n v="3651.08"/>
        <n v="709.57"/>
        <n v="40.58"/>
        <n v="18.15"/>
        <n v="226.9"/>
        <n v="13.57"/>
        <n v="216.35"/>
        <n v="76.52"/>
        <n v="317.7"/>
        <n v="139.03"/>
        <n v="117.52"/>
        <n v="651.44"/>
        <n v="30.22"/>
        <n v="2884.52"/>
        <n v="117"/>
        <n v="1110.86"/>
        <n v="48.38"/>
        <n v="51.41"/>
        <n v="30.51"/>
        <n v="16.85"/>
        <n v="1173.69"/>
        <n v="476.53"/>
        <n v="133.96"/>
      </sharedItems>
    </cacheField>
    <cacheField name="COGS" numFmtId="0">
      <sharedItems containsSemiMixedTypes="0" containsString="0" containsNumber="1" minValue="0" maxValue="3665.52" count="248">
        <n v="82.33"/>
        <n v="14.22"/>
        <n v="61.05"/>
        <n v="1655.53"/>
        <n v="221.9"/>
        <n v="55.03"/>
        <n v="3665.52"/>
        <n v="96.73"/>
        <n v="18.96"/>
        <n v="90.14"/>
        <n v="5.85"/>
        <n v="46.07"/>
        <n v="13.46"/>
        <n v="79.96"/>
        <n v="348.95"/>
        <n v="23.35"/>
        <n v="95.12"/>
        <n v="22.7"/>
        <n v="1067.41"/>
        <n v="91.64"/>
        <n v="81.75"/>
        <n v="6.24"/>
        <n v="86.28"/>
        <n v="650.42"/>
        <n v="28.36"/>
        <n v="80.25"/>
        <n v="24.54"/>
        <n v="277.79"/>
        <n v="27.95"/>
        <n v="56.57"/>
        <n v="128.08"/>
        <n v="460.85"/>
        <n v="87.79"/>
        <n v="237.03"/>
        <n v="143.13"/>
        <n v="39.91"/>
        <n v="100.99"/>
        <n v="102.79"/>
        <n v="82.78"/>
        <n v="44.09"/>
        <n v="439.89"/>
        <n v="134.89"/>
        <n v="621.15"/>
        <n v="345.25"/>
        <n v="32.1"/>
        <n v="34.77"/>
        <n v="44.36"/>
        <n v="41.68"/>
        <n v="10.11"/>
        <n v="217.74"/>
        <n v="17.9"/>
        <n v="283.6"/>
        <n v="154.39"/>
        <n v="416.02"/>
        <n v="25.2"/>
        <n v="18.54"/>
        <n v="43.3"/>
        <n v="34.84"/>
        <n v="295.08"/>
        <n v="7.53"/>
        <n v="25.6"/>
        <n v="499.19"/>
        <n v="152.95"/>
        <n v="35.59"/>
        <n v="262.55"/>
        <n v="8.24"/>
        <n v="10.06"/>
        <n v="13.9"/>
        <n v="221.33"/>
        <n v="12.41"/>
        <n v="26.45"/>
        <n v="11.84"/>
        <n v="69.48"/>
        <n v="22.44"/>
        <n v="162.16"/>
        <n v="50.42"/>
        <n v="150.63"/>
        <n v="43.9"/>
        <n v="218.69"/>
        <n v="296.8"/>
        <n v="113.89"/>
        <n v="305.35"/>
        <n v="714.26"/>
        <n v="125.64"/>
        <n v="30.37"/>
        <n v="6.64"/>
        <n v="1298.68"/>
        <n v="1818.02"/>
        <n v="285.81"/>
        <n v="105.62"/>
        <n v="13.14"/>
        <n v="438.84"/>
        <n v="253.14"/>
        <n v="386.12"/>
        <n v="34.68"/>
        <n v="2024.1"/>
        <n v="54.87"/>
        <n v="20.48"/>
        <n v="440.61"/>
        <n v="75.43"/>
        <n v="15.53"/>
        <n v="22.05"/>
        <n v="1114.59"/>
        <n v="53.02"/>
        <n v="14.33"/>
        <n v="26.46"/>
        <n v="271.22"/>
        <n v="79.61"/>
        <n v="75.37"/>
        <n v="25.32"/>
        <n v="27.26"/>
        <n v="50.67"/>
        <n v="33.42"/>
        <n v="187.66"/>
        <n v="131.59"/>
        <n v="1869"/>
        <n v="22.69"/>
        <n v="32.88"/>
        <n v="43.5"/>
        <n v="5.6"/>
        <n v="15.9"/>
        <n v="6.37"/>
        <n v="29.62"/>
        <n v="6.74"/>
        <n v="113.44"/>
        <n v="359.06"/>
        <n v="33.74"/>
        <n v="538.24"/>
        <n v="11.22"/>
        <n v="133.65"/>
        <n v="12.51"/>
        <n v="242.3"/>
        <n v="946.05"/>
        <n v="36.41"/>
        <n v="104.17"/>
        <n v="52.65"/>
        <n v="56.52"/>
        <n v="75.32"/>
        <n v="25.08"/>
        <n v="53.12"/>
        <n v="1836.87"/>
        <n v="27.39"/>
        <n v="5.49"/>
        <n v="9.41"/>
        <n v="35.02"/>
        <n v="100.07"/>
        <n v="7.54"/>
        <n v="312.07"/>
        <n v="630.23"/>
        <n v="927.51"/>
        <n v="113.5"/>
        <n v="118.22"/>
        <n v="13.63"/>
        <n v="16.19"/>
        <n v="54.72"/>
        <n v="35.19"/>
        <n v="28.34"/>
        <n v="59.65"/>
        <n v="16.04"/>
        <n v="44.3"/>
        <n v="39.93"/>
        <n v="65.17"/>
        <n v="15.52"/>
        <n v="104.54"/>
        <n v="53.95"/>
        <n v="3.08"/>
        <n v="386.89"/>
        <n v="6.83"/>
        <n v="24.32"/>
        <n v="209.99"/>
        <n v="8.6"/>
        <n v="172.56"/>
        <n v="186.16"/>
        <n v="250.79"/>
        <n v="17.38"/>
        <n v="124.19"/>
        <n v="15.91"/>
        <n v="18.08"/>
        <n v="38.05"/>
        <n v="27.37"/>
        <n v="107.06"/>
        <n v="612.92"/>
        <n v="28.6"/>
        <n v="141.36"/>
        <n v="647.36"/>
        <n v="1348.19"/>
        <n v="143.43"/>
        <n v="239.05"/>
        <n v="19.04"/>
        <n v="160.6"/>
        <n v="15.88"/>
        <n v="16.84"/>
        <n v="32.32"/>
        <n v="6.65"/>
        <n v="97.92"/>
        <n v="182.24"/>
        <n v="32.06"/>
        <n v="13.69"/>
        <n v="103.76"/>
        <n v="49.56"/>
        <n v="10.15"/>
        <n v="117.08"/>
        <n v="222.42"/>
        <n v="278.62"/>
        <n v="849.93"/>
        <n v="330.79"/>
        <n v="103.77"/>
        <n v="222.25"/>
        <n v="12.21"/>
        <n v="13.68"/>
        <n v="49.08"/>
        <n v="714.82"/>
        <n v="242.17"/>
        <n v="29.82"/>
        <n v="9.5"/>
        <n v="17.69"/>
        <n v="322.53"/>
        <n v="89"/>
        <n v="28.69"/>
        <n v="92.5"/>
        <n v="50.73"/>
        <n v="75.94"/>
        <n v="25.22"/>
        <n v="6.71"/>
        <n v="4.79"/>
        <n v="2652.14"/>
        <n v="382.46"/>
        <n v="23.59"/>
        <n v="14"/>
        <n v="187.08"/>
        <n v="7.42"/>
        <n v="174.27"/>
        <n v="56.09"/>
        <n v="226.52"/>
        <n v="81.54"/>
        <n v="72.1"/>
        <n v="353.73"/>
        <n v="16.91"/>
        <n v="1628.02"/>
        <n v="44.52"/>
        <n v="860.36"/>
        <n v="16.18"/>
        <n v="32.6"/>
        <n v="20.12"/>
        <n v="7.95"/>
        <n v="782.15"/>
        <n v="401.24"/>
        <n v="72.07"/>
      </sharedItems>
    </cacheField>
    <cacheField name="Gross Profit" numFmtId="0">
      <sharedItems containsSemiMixedTypes="0" containsString="0" containsNumber="1" minValue="0" maxValue="1256.5" count="250">
        <n v="50.37"/>
        <n v="6.77"/>
        <n v="13.14"/>
        <n v="460.43"/>
        <n v="137.11"/>
        <n v="18.65"/>
        <n v="1031.46"/>
        <n v="61.22"/>
        <n v="11.03"/>
        <n v="55.13"/>
        <n v="3.12"/>
        <n v="23.92"/>
        <n v="3.42"/>
        <n v="57.97"/>
        <n v="215.14"/>
        <n v="20.41"/>
        <n v="46.2"/>
        <n v="33.16"/>
        <n v="627.7"/>
        <n v="107.44"/>
        <n v="83.01"/>
        <n v="7.6"/>
        <n v="38.17"/>
        <n v="118.04"/>
        <n v="44.12"/>
        <n v="22.12"/>
        <n v="24.69"/>
        <n v="184.43"/>
        <n v="19.54"/>
        <n v="47.98"/>
        <n v="101.42"/>
        <n v="75.77"/>
        <n v="44.73"/>
        <n v="127.24"/>
        <n v="80.97"/>
        <n v="16.33"/>
        <n v="83.03"/>
        <n v="71.63"/>
        <n v="30.81"/>
        <n v="35.44"/>
        <n v="84.48"/>
        <n v="60.15"/>
        <n v="161.65"/>
        <n v="106.59"/>
        <n v="47.9"/>
        <n v="33.02"/>
        <n v="21.22"/>
        <n v="15.57"/>
        <n v="14.83"/>
        <n v="190.31"/>
        <n v="15.43"/>
        <n v="186.63"/>
        <n v="26.88"/>
        <n v="170.09"/>
        <n v="11.99"/>
        <n v="7.36"/>
        <n v="33.44"/>
        <n v="31.02"/>
        <n v="138.86"/>
        <n v="2.36"/>
        <n v="21.58"/>
        <n v="113.92"/>
        <n v="92.44"/>
        <n v="12.99"/>
        <n v="43.63"/>
        <n v="13.38"/>
        <n v="10.01"/>
        <n v="8.45"/>
        <n v="188.47"/>
        <n v="6.07"/>
        <n v="24.01"/>
        <n v="12.04"/>
        <n v="47.7"/>
        <n v="13.24"/>
        <n v="27.9"/>
        <n v="103.87"/>
        <n v="96.26"/>
        <n v="99.56"/>
        <n v="98.99"/>
        <n v="228.04"/>
        <n v="21.39"/>
        <n v="43.02"/>
        <n v="436.66"/>
        <n v="28.67"/>
        <n v="47.65"/>
        <n v="9.49"/>
        <n v="718.85"/>
        <n v="472.54"/>
        <n v="39.68"/>
        <n v="68.44"/>
        <n v="7.53"/>
        <n v="407.03"/>
        <n v="203.63"/>
        <n v="132.93"/>
        <n v="49.97"/>
        <n v="471.4"/>
        <n v="17.8"/>
        <n v="19.03"/>
        <n v="92.43"/>
        <n v="34.29"/>
        <n v="8.95"/>
        <n v="35.3"/>
        <n v="217.54"/>
        <n v="43.29"/>
        <n v="5.72"/>
        <n v="11.5"/>
        <n v="63.74"/>
        <n v="80.77"/>
        <n v="93.55"/>
        <n v="26.43"/>
        <n v="32.49"/>
        <n v="22.21"/>
        <n v="19.72"/>
        <n v="101.76"/>
        <n v="77.29"/>
        <n v="330.34"/>
        <n v="37.9"/>
        <n v="11.81"/>
        <n v="45.51"/>
        <n v="6.22"/>
        <n v="1.28"/>
        <n v="16.14"/>
        <n v="9.4"/>
        <n v="34.34"/>
        <n v="3.78"/>
        <n v="74.94"/>
        <n v="204.79"/>
        <n v="22.45"/>
        <n v="475.2"/>
        <n v="14.76"/>
        <n v="74.36"/>
        <n v="10.69"/>
        <n v="168.38"/>
        <n v="137.63"/>
        <n v="64.77"/>
        <n v="120.81"/>
        <n v="37.84"/>
        <n v="27.18"/>
        <n v="125.04"/>
        <n v="23.09"/>
        <n v="44.1"/>
        <n v="269.63"/>
        <n v="43.67"/>
        <n v="2.06"/>
        <n v="13.21"/>
        <n v="20.58"/>
        <n v="59.86"/>
        <n v="12.4"/>
        <n v="102.31"/>
        <n v="266.13"/>
        <n v="348.64"/>
        <n v="77"/>
        <n v="28.25"/>
        <n v="3.6"/>
        <n v="29.48"/>
        <n v="11.38"/>
        <n v="58.14"/>
        <n v="49.56"/>
        <n v="16.25"/>
        <n v="25.31"/>
        <n v="32.11"/>
        <n v="47.33"/>
        <n v="70.89"/>
        <n v="10.27"/>
        <n v="101.28"/>
        <n v="12.88"/>
        <n v="5.18"/>
        <n v="115.04"/>
        <n v="2.92"/>
        <n v="24.02"/>
        <n v="76.18"/>
        <n v="17.29"/>
        <n v="128.27"/>
        <n v="65.21"/>
        <n v="109.28"/>
        <n v="8.97"/>
        <n v="58.76"/>
        <n v="18.02"/>
        <n v="4.26"/>
        <n v="33.4"/>
        <n v="51.9"/>
        <n v="94.48"/>
        <n v="224.74"/>
        <n v="9.1"/>
        <n v="72.75"/>
        <n v="296.32"/>
        <n v="270.68"/>
        <n v="112.01"/>
        <n v="123.15"/>
        <n v="8.93"/>
        <n v="42.85"/>
        <n v="20.16"/>
        <n v="6.8"/>
        <n v="27.71"/>
        <n v="3.65"/>
        <n v="17.47"/>
        <n v="41.81"/>
        <n v="27.68"/>
        <n v="7.24"/>
        <n v="59.07"/>
        <n v="40.54"/>
        <n v="4.08"/>
        <n v="53.25"/>
        <n v="34.39"/>
        <n v="105.53"/>
        <n v="143.68"/>
        <n v="271.53"/>
        <n v="26.09"/>
        <n v="137.03"/>
        <n v="4.83"/>
        <n v="18.09"/>
        <n v="76.26"/>
        <n v="124.17"/>
        <n v="50.48"/>
        <n v="13.17"/>
        <n v="11.26"/>
        <n v="14.95"/>
        <n v="277.19"/>
        <n v="84.76"/>
        <n v="29.44"/>
        <n v="20.62"/>
        <n v="51.93"/>
        <n v="130.32"/>
        <n v="6.54"/>
        <n v="12.7"/>
        <n v="5.16"/>
        <n v="1.77"/>
        <n v="998.94"/>
        <n v="327.11"/>
        <n v="16.99"/>
        <n v="4.15"/>
        <n v="39.82"/>
        <n v="6.15"/>
        <n v="42.08"/>
        <n v="20.43"/>
        <n v="91.18"/>
        <n v="57.49"/>
        <n v="45.42"/>
        <n v="297.71"/>
        <n v="13.31"/>
        <n v="1256.5"/>
        <n v="72.48"/>
        <n v="250.5"/>
        <n v="32.2"/>
        <n v="18.81"/>
        <n v="10.39"/>
        <n v="8.9"/>
        <n v="391.54"/>
        <n v="75.29"/>
        <n v="61.89"/>
      </sharedItems>
    </cacheField>
    <cacheField name="Sales Channel" numFmtId="0">
      <sharedItems count="5">
        <s v="Website"/>
        <s v="Mobile App"/>
        <s v="Marketplace"/>
        <s v="Social Commerce"/>
        <s v="Physical Store"/>
      </sharedItems>
    </cacheField>
    <cacheField name="Device Type" numFmtId="0">
      <sharedItems count="3">
        <s v="Tablet"/>
        <s v="Mobile"/>
        <s v="Desktop"/>
      </sharedItems>
    </cacheField>
    <cacheField name="Payment Method" numFmtId="0">
      <sharedItems count="7">
        <s v="Credit Card"/>
        <s v="Debit Card"/>
        <s v="Buy Now Pay Later"/>
        <s v="Apple Pay"/>
        <s v="Bank Transfer"/>
        <s v="PayPal"/>
        <s v="Google Pay"/>
      </sharedItems>
    </cacheField>
    <cacheField name="Shipping Method" numFmtId="0">
      <sharedItems count="5">
        <s v="Standard"/>
        <s v="Express"/>
        <s v="Next Day"/>
        <s v="Economy"/>
        <s v="Same Day"/>
      </sharedItems>
    </cacheField>
    <cacheField name="Shipping Cost" numFmtId="0">
      <sharedItems containsSemiMixedTypes="0" containsString="0" containsNumber="1" minValue="0" maxValue="24.99" count="6">
        <n v="0"/>
        <n v="5.99"/>
        <n v="12.99"/>
        <n v="19.99"/>
        <n v="24.99"/>
        <n v="2.99"/>
      </sharedItems>
    </cacheField>
    <cacheField name="Delivery Days" numFmtId="0">
      <sharedItems containsSemiMixedTypes="0" containsString="0" containsNumber="1" containsInteger="1" minValue="0" maxValue="10" count="11">
        <n v="4"/>
        <n v="5"/>
        <n v="6"/>
        <n v="3"/>
        <n v="2"/>
        <n v="7"/>
        <n v="1"/>
        <n v="8"/>
        <n v="0"/>
        <n v="10"/>
        <n v="9"/>
      </sharedItems>
    </cacheField>
    <cacheField name="Marketing Source" numFmtId="0">
      <sharedItems count="8">
        <s v="Organic Search"/>
        <s v="Direct"/>
        <s v="Paid Search"/>
        <s v="Social Media Ads"/>
        <s v="Influencer"/>
        <s v="Referral"/>
        <s v="Email Campaign"/>
        <s v="Display Ads"/>
      </sharedItems>
    </cacheField>
    <cacheField name="Is Returned" numFmtId="0">
      <sharedItems count="2">
        <s v="No"/>
        <s v="Yes"/>
      </sharedItems>
    </cacheField>
    <cacheField name="Return Reason" numFmtId="0">
      <sharedItems containsBlank="1" count="7">
        <m/>
        <s v="Changed Mind"/>
        <s v="Defective"/>
        <s v="Wrong Size"/>
        <s v="Not as Described"/>
        <s v="Wrong Item Sent"/>
        <s v="Damaged in Shipping"/>
      </sharedItems>
    </cacheField>
    <cacheField name="Customer Rating" numFmtId="0">
      <sharedItems containsString="0" containsBlank="1" containsNumber="1" containsInteger="1" minValue="0" maxValue="5" count="6">
        <n v="5"/>
        <m/>
        <n v="4"/>
        <n v="1"/>
        <n v="3"/>
        <n v="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0"/>
    <x v="0"/>
    <x v="1"/>
    <x v="1"/>
    <x v="0"/>
    <x v="0"/>
    <x v="0"/>
    <x v="0"/>
  </r>
  <r>
    <x v="2"/>
    <x v="2"/>
    <x v="2"/>
    <x v="1"/>
    <x v="2"/>
    <x v="0"/>
    <x v="2"/>
    <x v="2"/>
    <x v="0"/>
    <x v="2"/>
    <x v="2"/>
    <x v="2"/>
    <x v="2"/>
    <x v="1"/>
    <x v="2"/>
    <x v="2"/>
    <x v="2"/>
    <x v="2"/>
    <x v="2"/>
    <x v="2"/>
    <x v="2"/>
    <x v="0"/>
    <x v="1"/>
    <x v="1"/>
    <x v="0"/>
    <x v="1"/>
    <x v="2"/>
    <x v="1"/>
    <x v="0"/>
    <x v="0"/>
    <x v="1"/>
  </r>
  <r>
    <x v="3"/>
    <x v="3"/>
    <x v="3"/>
    <x v="2"/>
    <x v="3"/>
    <x v="0"/>
    <x v="1"/>
    <x v="3"/>
    <x v="0"/>
    <x v="3"/>
    <x v="3"/>
    <x v="2"/>
    <x v="3"/>
    <x v="0"/>
    <x v="3"/>
    <x v="3"/>
    <x v="3"/>
    <x v="3"/>
    <x v="3"/>
    <x v="3"/>
    <x v="3"/>
    <x v="2"/>
    <x v="1"/>
    <x v="1"/>
    <x v="0"/>
    <x v="0"/>
    <x v="2"/>
    <x v="2"/>
    <x v="0"/>
    <x v="0"/>
    <x v="1"/>
  </r>
  <r>
    <x v="4"/>
    <x v="4"/>
    <x v="4"/>
    <x v="0"/>
    <x v="4"/>
    <x v="1"/>
    <x v="3"/>
    <x v="4"/>
    <x v="0"/>
    <x v="4"/>
    <x v="4"/>
    <x v="3"/>
    <x v="4"/>
    <x v="0"/>
    <x v="4"/>
    <x v="4"/>
    <x v="4"/>
    <x v="4"/>
    <x v="4"/>
    <x v="4"/>
    <x v="4"/>
    <x v="0"/>
    <x v="1"/>
    <x v="2"/>
    <x v="1"/>
    <x v="2"/>
    <x v="3"/>
    <x v="0"/>
    <x v="0"/>
    <x v="0"/>
    <x v="0"/>
  </r>
  <r>
    <x v="5"/>
    <x v="4"/>
    <x v="5"/>
    <x v="3"/>
    <x v="5"/>
    <x v="1"/>
    <x v="1"/>
    <x v="1"/>
    <x v="0"/>
    <x v="5"/>
    <x v="5"/>
    <x v="2"/>
    <x v="5"/>
    <x v="1"/>
    <x v="5"/>
    <x v="5"/>
    <x v="4"/>
    <x v="5"/>
    <x v="5"/>
    <x v="5"/>
    <x v="5"/>
    <x v="0"/>
    <x v="2"/>
    <x v="3"/>
    <x v="1"/>
    <x v="2"/>
    <x v="4"/>
    <x v="1"/>
    <x v="0"/>
    <x v="0"/>
    <x v="0"/>
  </r>
  <r>
    <x v="6"/>
    <x v="5"/>
    <x v="6"/>
    <x v="0"/>
    <x v="6"/>
    <x v="1"/>
    <x v="0"/>
    <x v="5"/>
    <x v="0"/>
    <x v="6"/>
    <x v="5"/>
    <x v="2"/>
    <x v="5"/>
    <x v="2"/>
    <x v="6"/>
    <x v="6"/>
    <x v="3"/>
    <x v="3"/>
    <x v="6"/>
    <x v="6"/>
    <x v="6"/>
    <x v="0"/>
    <x v="1"/>
    <x v="0"/>
    <x v="0"/>
    <x v="0"/>
    <x v="1"/>
    <x v="0"/>
    <x v="0"/>
    <x v="0"/>
    <x v="1"/>
  </r>
  <r>
    <x v="7"/>
    <x v="6"/>
    <x v="7"/>
    <x v="3"/>
    <x v="7"/>
    <x v="0"/>
    <x v="2"/>
    <x v="6"/>
    <x v="1"/>
    <x v="7"/>
    <x v="6"/>
    <x v="0"/>
    <x v="6"/>
    <x v="1"/>
    <x v="7"/>
    <x v="7"/>
    <x v="3"/>
    <x v="3"/>
    <x v="7"/>
    <x v="7"/>
    <x v="7"/>
    <x v="1"/>
    <x v="1"/>
    <x v="4"/>
    <x v="0"/>
    <x v="0"/>
    <x v="5"/>
    <x v="0"/>
    <x v="0"/>
    <x v="0"/>
    <x v="2"/>
  </r>
  <r>
    <x v="8"/>
    <x v="7"/>
    <x v="8"/>
    <x v="3"/>
    <x v="8"/>
    <x v="0"/>
    <x v="4"/>
    <x v="7"/>
    <x v="0"/>
    <x v="8"/>
    <x v="7"/>
    <x v="0"/>
    <x v="7"/>
    <x v="1"/>
    <x v="8"/>
    <x v="8"/>
    <x v="3"/>
    <x v="3"/>
    <x v="8"/>
    <x v="8"/>
    <x v="8"/>
    <x v="2"/>
    <x v="2"/>
    <x v="5"/>
    <x v="0"/>
    <x v="1"/>
    <x v="2"/>
    <x v="0"/>
    <x v="0"/>
    <x v="0"/>
    <x v="1"/>
  </r>
  <r>
    <x v="9"/>
    <x v="8"/>
    <x v="9"/>
    <x v="2"/>
    <x v="9"/>
    <x v="1"/>
    <x v="4"/>
    <x v="8"/>
    <x v="0"/>
    <x v="9"/>
    <x v="8"/>
    <x v="0"/>
    <x v="0"/>
    <x v="1"/>
    <x v="9"/>
    <x v="9"/>
    <x v="1"/>
    <x v="6"/>
    <x v="9"/>
    <x v="9"/>
    <x v="9"/>
    <x v="2"/>
    <x v="1"/>
    <x v="6"/>
    <x v="0"/>
    <x v="0"/>
    <x v="1"/>
    <x v="0"/>
    <x v="0"/>
    <x v="0"/>
    <x v="1"/>
  </r>
  <r>
    <x v="10"/>
    <x v="9"/>
    <x v="10"/>
    <x v="3"/>
    <x v="10"/>
    <x v="0"/>
    <x v="2"/>
    <x v="9"/>
    <x v="0"/>
    <x v="10"/>
    <x v="9"/>
    <x v="4"/>
    <x v="8"/>
    <x v="1"/>
    <x v="10"/>
    <x v="10"/>
    <x v="3"/>
    <x v="3"/>
    <x v="10"/>
    <x v="10"/>
    <x v="10"/>
    <x v="0"/>
    <x v="2"/>
    <x v="0"/>
    <x v="1"/>
    <x v="2"/>
    <x v="3"/>
    <x v="0"/>
    <x v="0"/>
    <x v="0"/>
    <x v="3"/>
  </r>
  <r>
    <x v="11"/>
    <x v="10"/>
    <x v="11"/>
    <x v="3"/>
    <x v="11"/>
    <x v="1"/>
    <x v="2"/>
    <x v="2"/>
    <x v="0"/>
    <x v="11"/>
    <x v="10"/>
    <x v="4"/>
    <x v="8"/>
    <x v="2"/>
    <x v="11"/>
    <x v="11"/>
    <x v="5"/>
    <x v="7"/>
    <x v="11"/>
    <x v="11"/>
    <x v="11"/>
    <x v="1"/>
    <x v="1"/>
    <x v="5"/>
    <x v="1"/>
    <x v="2"/>
    <x v="3"/>
    <x v="0"/>
    <x v="0"/>
    <x v="0"/>
    <x v="0"/>
  </r>
  <r>
    <x v="12"/>
    <x v="10"/>
    <x v="12"/>
    <x v="2"/>
    <x v="10"/>
    <x v="1"/>
    <x v="3"/>
    <x v="10"/>
    <x v="0"/>
    <x v="12"/>
    <x v="11"/>
    <x v="4"/>
    <x v="9"/>
    <x v="0"/>
    <x v="12"/>
    <x v="12"/>
    <x v="2"/>
    <x v="8"/>
    <x v="12"/>
    <x v="12"/>
    <x v="12"/>
    <x v="1"/>
    <x v="1"/>
    <x v="0"/>
    <x v="0"/>
    <x v="1"/>
    <x v="0"/>
    <x v="3"/>
    <x v="0"/>
    <x v="0"/>
    <x v="0"/>
  </r>
  <r>
    <x v="13"/>
    <x v="10"/>
    <x v="13"/>
    <x v="3"/>
    <x v="12"/>
    <x v="1"/>
    <x v="2"/>
    <x v="6"/>
    <x v="2"/>
    <x v="13"/>
    <x v="12"/>
    <x v="0"/>
    <x v="10"/>
    <x v="2"/>
    <x v="13"/>
    <x v="13"/>
    <x v="4"/>
    <x v="9"/>
    <x v="13"/>
    <x v="13"/>
    <x v="13"/>
    <x v="0"/>
    <x v="1"/>
    <x v="0"/>
    <x v="1"/>
    <x v="2"/>
    <x v="3"/>
    <x v="3"/>
    <x v="0"/>
    <x v="0"/>
    <x v="0"/>
  </r>
  <r>
    <x v="14"/>
    <x v="11"/>
    <x v="14"/>
    <x v="3"/>
    <x v="13"/>
    <x v="0"/>
    <x v="2"/>
    <x v="6"/>
    <x v="3"/>
    <x v="14"/>
    <x v="13"/>
    <x v="5"/>
    <x v="11"/>
    <x v="0"/>
    <x v="14"/>
    <x v="14"/>
    <x v="0"/>
    <x v="10"/>
    <x v="14"/>
    <x v="14"/>
    <x v="14"/>
    <x v="1"/>
    <x v="1"/>
    <x v="1"/>
    <x v="0"/>
    <x v="0"/>
    <x v="1"/>
    <x v="0"/>
    <x v="0"/>
    <x v="0"/>
    <x v="1"/>
  </r>
  <r>
    <x v="15"/>
    <x v="12"/>
    <x v="15"/>
    <x v="2"/>
    <x v="14"/>
    <x v="1"/>
    <x v="2"/>
    <x v="9"/>
    <x v="0"/>
    <x v="15"/>
    <x v="14"/>
    <x v="5"/>
    <x v="12"/>
    <x v="1"/>
    <x v="15"/>
    <x v="15"/>
    <x v="2"/>
    <x v="11"/>
    <x v="15"/>
    <x v="15"/>
    <x v="15"/>
    <x v="0"/>
    <x v="1"/>
    <x v="3"/>
    <x v="0"/>
    <x v="1"/>
    <x v="0"/>
    <x v="4"/>
    <x v="0"/>
    <x v="0"/>
    <x v="2"/>
  </r>
  <r>
    <x v="16"/>
    <x v="13"/>
    <x v="16"/>
    <x v="0"/>
    <x v="15"/>
    <x v="0"/>
    <x v="1"/>
    <x v="11"/>
    <x v="0"/>
    <x v="16"/>
    <x v="15"/>
    <x v="0"/>
    <x v="7"/>
    <x v="0"/>
    <x v="16"/>
    <x v="16"/>
    <x v="3"/>
    <x v="3"/>
    <x v="16"/>
    <x v="16"/>
    <x v="16"/>
    <x v="2"/>
    <x v="0"/>
    <x v="3"/>
    <x v="0"/>
    <x v="0"/>
    <x v="1"/>
    <x v="5"/>
    <x v="0"/>
    <x v="0"/>
    <x v="2"/>
  </r>
  <r>
    <x v="17"/>
    <x v="13"/>
    <x v="17"/>
    <x v="2"/>
    <x v="16"/>
    <x v="0"/>
    <x v="2"/>
    <x v="9"/>
    <x v="0"/>
    <x v="10"/>
    <x v="16"/>
    <x v="6"/>
    <x v="13"/>
    <x v="1"/>
    <x v="17"/>
    <x v="17"/>
    <x v="4"/>
    <x v="12"/>
    <x v="17"/>
    <x v="17"/>
    <x v="17"/>
    <x v="0"/>
    <x v="1"/>
    <x v="2"/>
    <x v="0"/>
    <x v="1"/>
    <x v="2"/>
    <x v="0"/>
    <x v="0"/>
    <x v="0"/>
    <x v="2"/>
  </r>
  <r>
    <x v="18"/>
    <x v="14"/>
    <x v="13"/>
    <x v="0"/>
    <x v="12"/>
    <x v="1"/>
    <x v="2"/>
    <x v="6"/>
    <x v="2"/>
    <x v="13"/>
    <x v="17"/>
    <x v="0"/>
    <x v="10"/>
    <x v="2"/>
    <x v="18"/>
    <x v="18"/>
    <x v="4"/>
    <x v="13"/>
    <x v="18"/>
    <x v="18"/>
    <x v="18"/>
    <x v="0"/>
    <x v="1"/>
    <x v="0"/>
    <x v="1"/>
    <x v="2"/>
    <x v="4"/>
    <x v="2"/>
    <x v="0"/>
    <x v="0"/>
    <x v="2"/>
  </r>
  <r>
    <x v="19"/>
    <x v="15"/>
    <x v="18"/>
    <x v="3"/>
    <x v="17"/>
    <x v="0"/>
    <x v="2"/>
    <x v="2"/>
    <x v="0"/>
    <x v="11"/>
    <x v="18"/>
    <x v="6"/>
    <x v="14"/>
    <x v="1"/>
    <x v="19"/>
    <x v="19"/>
    <x v="3"/>
    <x v="3"/>
    <x v="19"/>
    <x v="19"/>
    <x v="19"/>
    <x v="0"/>
    <x v="2"/>
    <x v="5"/>
    <x v="0"/>
    <x v="0"/>
    <x v="1"/>
    <x v="4"/>
    <x v="0"/>
    <x v="0"/>
    <x v="0"/>
  </r>
  <r>
    <x v="20"/>
    <x v="16"/>
    <x v="7"/>
    <x v="1"/>
    <x v="7"/>
    <x v="0"/>
    <x v="2"/>
    <x v="6"/>
    <x v="1"/>
    <x v="7"/>
    <x v="19"/>
    <x v="6"/>
    <x v="15"/>
    <x v="0"/>
    <x v="20"/>
    <x v="20"/>
    <x v="3"/>
    <x v="3"/>
    <x v="20"/>
    <x v="20"/>
    <x v="20"/>
    <x v="0"/>
    <x v="2"/>
    <x v="0"/>
    <x v="0"/>
    <x v="0"/>
    <x v="5"/>
    <x v="0"/>
    <x v="0"/>
    <x v="0"/>
    <x v="0"/>
  </r>
  <r>
    <x v="21"/>
    <x v="17"/>
    <x v="19"/>
    <x v="1"/>
    <x v="18"/>
    <x v="1"/>
    <x v="1"/>
    <x v="11"/>
    <x v="0"/>
    <x v="16"/>
    <x v="20"/>
    <x v="7"/>
    <x v="16"/>
    <x v="1"/>
    <x v="21"/>
    <x v="21"/>
    <x v="4"/>
    <x v="14"/>
    <x v="21"/>
    <x v="21"/>
    <x v="21"/>
    <x v="2"/>
    <x v="0"/>
    <x v="0"/>
    <x v="0"/>
    <x v="1"/>
    <x v="0"/>
    <x v="5"/>
    <x v="0"/>
    <x v="0"/>
    <x v="0"/>
  </r>
  <r>
    <x v="22"/>
    <x v="17"/>
    <x v="20"/>
    <x v="3"/>
    <x v="19"/>
    <x v="0"/>
    <x v="3"/>
    <x v="12"/>
    <x v="0"/>
    <x v="17"/>
    <x v="21"/>
    <x v="0"/>
    <x v="0"/>
    <x v="1"/>
    <x v="22"/>
    <x v="22"/>
    <x v="3"/>
    <x v="3"/>
    <x v="22"/>
    <x v="22"/>
    <x v="22"/>
    <x v="3"/>
    <x v="2"/>
    <x v="3"/>
    <x v="0"/>
    <x v="0"/>
    <x v="2"/>
    <x v="5"/>
    <x v="0"/>
    <x v="0"/>
    <x v="2"/>
  </r>
  <r>
    <x v="23"/>
    <x v="18"/>
    <x v="21"/>
    <x v="2"/>
    <x v="2"/>
    <x v="1"/>
    <x v="2"/>
    <x v="2"/>
    <x v="0"/>
    <x v="2"/>
    <x v="22"/>
    <x v="2"/>
    <x v="17"/>
    <x v="1"/>
    <x v="23"/>
    <x v="23"/>
    <x v="1"/>
    <x v="15"/>
    <x v="23"/>
    <x v="23"/>
    <x v="23"/>
    <x v="1"/>
    <x v="1"/>
    <x v="6"/>
    <x v="1"/>
    <x v="2"/>
    <x v="4"/>
    <x v="2"/>
    <x v="0"/>
    <x v="0"/>
    <x v="2"/>
  </r>
  <r>
    <x v="24"/>
    <x v="18"/>
    <x v="22"/>
    <x v="1"/>
    <x v="20"/>
    <x v="1"/>
    <x v="2"/>
    <x v="2"/>
    <x v="0"/>
    <x v="18"/>
    <x v="23"/>
    <x v="7"/>
    <x v="18"/>
    <x v="1"/>
    <x v="24"/>
    <x v="24"/>
    <x v="3"/>
    <x v="3"/>
    <x v="24"/>
    <x v="24"/>
    <x v="24"/>
    <x v="0"/>
    <x v="1"/>
    <x v="0"/>
    <x v="0"/>
    <x v="1"/>
    <x v="5"/>
    <x v="4"/>
    <x v="0"/>
    <x v="0"/>
    <x v="3"/>
  </r>
  <r>
    <x v="25"/>
    <x v="19"/>
    <x v="23"/>
    <x v="1"/>
    <x v="21"/>
    <x v="1"/>
    <x v="2"/>
    <x v="9"/>
    <x v="0"/>
    <x v="19"/>
    <x v="24"/>
    <x v="2"/>
    <x v="5"/>
    <x v="1"/>
    <x v="25"/>
    <x v="25"/>
    <x v="0"/>
    <x v="16"/>
    <x v="25"/>
    <x v="25"/>
    <x v="25"/>
    <x v="0"/>
    <x v="1"/>
    <x v="5"/>
    <x v="1"/>
    <x v="2"/>
    <x v="3"/>
    <x v="2"/>
    <x v="0"/>
    <x v="0"/>
    <x v="0"/>
  </r>
  <r>
    <x v="26"/>
    <x v="20"/>
    <x v="24"/>
    <x v="3"/>
    <x v="22"/>
    <x v="1"/>
    <x v="0"/>
    <x v="0"/>
    <x v="0"/>
    <x v="20"/>
    <x v="25"/>
    <x v="6"/>
    <x v="19"/>
    <x v="3"/>
    <x v="26"/>
    <x v="26"/>
    <x v="6"/>
    <x v="17"/>
    <x v="26"/>
    <x v="26"/>
    <x v="26"/>
    <x v="0"/>
    <x v="1"/>
    <x v="0"/>
    <x v="0"/>
    <x v="1"/>
    <x v="1"/>
    <x v="3"/>
    <x v="0"/>
    <x v="0"/>
    <x v="0"/>
  </r>
  <r>
    <x v="27"/>
    <x v="21"/>
    <x v="25"/>
    <x v="3"/>
    <x v="23"/>
    <x v="1"/>
    <x v="3"/>
    <x v="4"/>
    <x v="0"/>
    <x v="4"/>
    <x v="26"/>
    <x v="0"/>
    <x v="10"/>
    <x v="1"/>
    <x v="27"/>
    <x v="27"/>
    <x v="0"/>
    <x v="18"/>
    <x v="27"/>
    <x v="27"/>
    <x v="27"/>
    <x v="1"/>
    <x v="1"/>
    <x v="5"/>
    <x v="0"/>
    <x v="0"/>
    <x v="1"/>
    <x v="6"/>
    <x v="0"/>
    <x v="0"/>
    <x v="0"/>
  </r>
  <r>
    <x v="28"/>
    <x v="21"/>
    <x v="26"/>
    <x v="3"/>
    <x v="11"/>
    <x v="0"/>
    <x v="0"/>
    <x v="13"/>
    <x v="0"/>
    <x v="21"/>
    <x v="27"/>
    <x v="3"/>
    <x v="4"/>
    <x v="1"/>
    <x v="28"/>
    <x v="28"/>
    <x v="0"/>
    <x v="19"/>
    <x v="28"/>
    <x v="28"/>
    <x v="28"/>
    <x v="0"/>
    <x v="1"/>
    <x v="6"/>
    <x v="2"/>
    <x v="3"/>
    <x v="6"/>
    <x v="6"/>
    <x v="0"/>
    <x v="0"/>
    <x v="0"/>
  </r>
  <r>
    <x v="29"/>
    <x v="22"/>
    <x v="27"/>
    <x v="3"/>
    <x v="24"/>
    <x v="1"/>
    <x v="2"/>
    <x v="6"/>
    <x v="4"/>
    <x v="7"/>
    <x v="21"/>
    <x v="0"/>
    <x v="0"/>
    <x v="1"/>
    <x v="29"/>
    <x v="29"/>
    <x v="1"/>
    <x v="20"/>
    <x v="29"/>
    <x v="29"/>
    <x v="29"/>
    <x v="0"/>
    <x v="0"/>
    <x v="6"/>
    <x v="0"/>
    <x v="0"/>
    <x v="2"/>
    <x v="1"/>
    <x v="0"/>
    <x v="0"/>
    <x v="0"/>
  </r>
  <r>
    <x v="30"/>
    <x v="23"/>
    <x v="28"/>
    <x v="0"/>
    <x v="21"/>
    <x v="1"/>
    <x v="2"/>
    <x v="9"/>
    <x v="0"/>
    <x v="19"/>
    <x v="28"/>
    <x v="5"/>
    <x v="20"/>
    <x v="3"/>
    <x v="30"/>
    <x v="30"/>
    <x v="1"/>
    <x v="21"/>
    <x v="30"/>
    <x v="30"/>
    <x v="30"/>
    <x v="1"/>
    <x v="1"/>
    <x v="6"/>
    <x v="1"/>
    <x v="2"/>
    <x v="4"/>
    <x v="3"/>
    <x v="0"/>
    <x v="0"/>
    <x v="2"/>
  </r>
  <r>
    <x v="31"/>
    <x v="23"/>
    <x v="29"/>
    <x v="2"/>
    <x v="8"/>
    <x v="1"/>
    <x v="2"/>
    <x v="9"/>
    <x v="0"/>
    <x v="22"/>
    <x v="3"/>
    <x v="2"/>
    <x v="3"/>
    <x v="0"/>
    <x v="31"/>
    <x v="31"/>
    <x v="2"/>
    <x v="22"/>
    <x v="31"/>
    <x v="31"/>
    <x v="31"/>
    <x v="1"/>
    <x v="1"/>
    <x v="0"/>
    <x v="2"/>
    <x v="3"/>
    <x v="6"/>
    <x v="6"/>
    <x v="0"/>
    <x v="0"/>
    <x v="0"/>
  </r>
  <r>
    <x v="32"/>
    <x v="24"/>
    <x v="30"/>
    <x v="2"/>
    <x v="0"/>
    <x v="0"/>
    <x v="4"/>
    <x v="8"/>
    <x v="0"/>
    <x v="9"/>
    <x v="29"/>
    <x v="5"/>
    <x v="21"/>
    <x v="1"/>
    <x v="32"/>
    <x v="32"/>
    <x v="3"/>
    <x v="3"/>
    <x v="32"/>
    <x v="32"/>
    <x v="32"/>
    <x v="0"/>
    <x v="1"/>
    <x v="0"/>
    <x v="1"/>
    <x v="2"/>
    <x v="4"/>
    <x v="0"/>
    <x v="1"/>
    <x v="1"/>
    <x v="1"/>
  </r>
  <r>
    <x v="33"/>
    <x v="25"/>
    <x v="31"/>
    <x v="3"/>
    <x v="16"/>
    <x v="1"/>
    <x v="0"/>
    <x v="5"/>
    <x v="0"/>
    <x v="23"/>
    <x v="4"/>
    <x v="3"/>
    <x v="4"/>
    <x v="1"/>
    <x v="33"/>
    <x v="33"/>
    <x v="3"/>
    <x v="3"/>
    <x v="33"/>
    <x v="33"/>
    <x v="33"/>
    <x v="0"/>
    <x v="2"/>
    <x v="5"/>
    <x v="2"/>
    <x v="3"/>
    <x v="6"/>
    <x v="0"/>
    <x v="0"/>
    <x v="0"/>
    <x v="0"/>
  </r>
  <r>
    <x v="34"/>
    <x v="26"/>
    <x v="32"/>
    <x v="0"/>
    <x v="16"/>
    <x v="0"/>
    <x v="3"/>
    <x v="12"/>
    <x v="0"/>
    <x v="17"/>
    <x v="30"/>
    <x v="0"/>
    <x v="10"/>
    <x v="0"/>
    <x v="34"/>
    <x v="34"/>
    <x v="3"/>
    <x v="3"/>
    <x v="34"/>
    <x v="34"/>
    <x v="34"/>
    <x v="2"/>
    <x v="2"/>
    <x v="5"/>
    <x v="0"/>
    <x v="0"/>
    <x v="0"/>
    <x v="7"/>
    <x v="0"/>
    <x v="0"/>
    <x v="1"/>
  </r>
  <r>
    <x v="35"/>
    <x v="27"/>
    <x v="33"/>
    <x v="2"/>
    <x v="25"/>
    <x v="1"/>
    <x v="0"/>
    <x v="0"/>
    <x v="0"/>
    <x v="24"/>
    <x v="31"/>
    <x v="1"/>
    <x v="22"/>
    <x v="0"/>
    <x v="35"/>
    <x v="35"/>
    <x v="3"/>
    <x v="3"/>
    <x v="35"/>
    <x v="35"/>
    <x v="35"/>
    <x v="2"/>
    <x v="1"/>
    <x v="6"/>
    <x v="0"/>
    <x v="1"/>
    <x v="1"/>
    <x v="5"/>
    <x v="0"/>
    <x v="0"/>
    <x v="1"/>
  </r>
  <r>
    <x v="36"/>
    <x v="28"/>
    <x v="34"/>
    <x v="2"/>
    <x v="25"/>
    <x v="1"/>
    <x v="2"/>
    <x v="9"/>
    <x v="0"/>
    <x v="15"/>
    <x v="32"/>
    <x v="0"/>
    <x v="6"/>
    <x v="0"/>
    <x v="36"/>
    <x v="36"/>
    <x v="4"/>
    <x v="23"/>
    <x v="36"/>
    <x v="36"/>
    <x v="36"/>
    <x v="0"/>
    <x v="2"/>
    <x v="0"/>
    <x v="0"/>
    <x v="0"/>
    <x v="2"/>
    <x v="5"/>
    <x v="0"/>
    <x v="0"/>
    <x v="0"/>
  </r>
  <r>
    <x v="37"/>
    <x v="29"/>
    <x v="35"/>
    <x v="3"/>
    <x v="5"/>
    <x v="1"/>
    <x v="2"/>
    <x v="6"/>
    <x v="2"/>
    <x v="25"/>
    <x v="33"/>
    <x v="0"/>
    <x v="6"/>
    <x v="0"/>
    <x v="37"/>
    <x v="37"/>
    <x v="3"/>
    <x v="3"/>
    <x v="37"/>
    <x v="37"/>
    <x v="37"/>
    <x v="1"/>
    <x v="1"/>
    <x v="5"/>
    <x v="1"/>
    <x v="2"/>
    <x v="3"/>
    <x v="0"/>
    <x v="0"/>
    <x v="0"/>
    <x v="0"/>
  </r>
  <r>
    <x v="38"/>
    <x v="30"/>
    <x v="36"/>
    <x v="2"/>
    <x v="26"/>
    <x v="2"/>
    <x v="0"/>
    <x v="14"/>
    <x v="0"/>
    <x v="26"/>
    <x v="3"/>
    <x v="2"/>
    <x v="3"/>
    <x v="1"/>
    <x v="38"/>
    <x v="38"/>
    <x v="4"/>
    <x v="24"/>
    <x v="38"/>
    <x v="38"/>
    <x v="38"/>
    <x v="1"/>
    <x v="1"/>
    <x v="5"/>
    <x v="0"/>
    <x v="0"/>
    <x v="1"/>
    <x v="6"/>
    <x v="0"/>
    <x v="0"/>
    <x v="0"/>
  </r>
  <r>
    <x v="39"/>
    <x v="31"/>
    <x v="6"/>
    <x v="1"/>
    <x v="6"/>
    <x v="1"/>
    <x v="0"/>
    <x v="5"/>
    <x v="0"/>
    <x v="6"/>
    <x v="0"/>
    <x v="0"/>
    <x v="0"/>
    <x v="2"/>
    <x v="39"/>
    <x v="39"/>
    <x v="3"/>
    <x v="3"/>
    <x v="39"/>
    <x v="39"/>
    <x v="39"/>
    <x v="4"/>
    <x v="2"/>
    <x v="0"/>
    <x v="3"/>
    <x v="0"/>
    <x v="7"/>
    <x v="0"/>
    <x v="0"/>
    <x v="0"/>
    <x v="1"/>
  </r>
  <r>
    <x v="40"/>
    <x v="31"/>
    <x v="35"/>
    <x v="2"/>
    <x v="5"/>
    <x v="1"/>
    <x v="2"/>
    <x v="6"/>
    <x v="2"/>
    <x v="25"/>
    <x v="24"/>
    <x v="2"/>
    <x v="5"/>
    <x v="1"/>
    <x v="40"/>
    <x v="40"/>
    <x v="3"/>
    <x v="3"/>
    <x v="40"/>
    <x v="40"/>
    <x v="40"/>
    <x v="0"/>
    <x v="1"/>
    <x v="3"/>
    <x v="4"/>
    <x v="4"/>
    <x v="8"/>
    <x v="1"/>
    <x v="0"/>
    <x v="0"/>
    <x v="0"/>
  </r>
  <r>
    <x v="41"/>
    <x v="32"/>
    <x v="11"/>
    <x v="2"/>
    <x v="11"/>
    <x v="1"/>
    <x v="2"/>
    <x v="2"/>
    <x v="0"/>
    <x v="11"/>
    <x v="33"/>
    <x v="0"/>
    <x v="6"/>
    <x v="0"/>
    <x v="41"/>
    <x v="41"/>
    <x v="3"/>
    <x v="3"/>
    <x v="41"/>
    <x v="41"/>
    <x v="41"/>
    <x v="1"/>
    <x v="1"/>
    <x v="0"/>
    <x v="2"/>
    <x v="3"/>
    <x v="6"/>
    <x v="3"/>
    <x v="0"/>
    <x v="0"/>
    <x v="0"/>
  </r>
  <r>
    <x v="42"/>
    <x v="33"/>
    <x v="37"/>
    <x v="2"/>
    <x v="27"/>
    <x v="1"/>
    <x v="0"/>
    <x v="14"/>
    <x v="0"/>
    <x v="27"/>
    <x v="34"/>
    <x v="2"/>
    <x v="2"/>
    <x v="1"/>
    <x v="42"/>
    <x v="42"/>
    <x v="0"/>
    <x v="25"/>
    <x v="42"/>
    <x v="42"/>
    <x v="42"/>
    <x v="0"/>
    <x v="2"/>
    <x v="3"/>
    <x v="0"/>
    <x v="0"/>
    <x v="0"/>
    <x v="5"/>
    <x v="0"/>
    <x v="0"/>
    <x v="2"/>
  </r>
  <r>
    <x v="43"/>
    <x v="34"/>
    <x v="38"/>
    <x v="3"/>
    <x v="8"/>
    <x v="1"/>
    <x v="2"/>
    <x v="2"/>
    <x v="0"/>
    <x v="2"/>
    <x v="35"/>
    <x v="2"/>
    <x v="17"/>
    <x v="3"/>
    <x v="43"/>
    <x v="43"/>
    <x v="3"/>
    <x v="3"/>
    <x v="43"/>
    <x v="43"/>
    <x v="43"/>
    <x v="0"/>
    <x v="2"/>
    <x v="0"/>
    <x v="0"/>
    <x v="0"/>
    <x v="1"/>
    <x v="4"/>
    <x v="1"/>
    <x v="2"/>
    <x v="1"/>
  </r>
  <r>
    <x v="44"/>
    <x v="34"/>
    <x v="39"/>
    <x v="3"/>
    <x v="28"/>
    <x v="0"/>
    <x v="0"/>
    <x v="13"/>
    <x v="0"/>
    <x v="28"/>
    <x v="36"/>
    <x v="6"/>
    <x v="14"/>
    <x v="0"/>
    <x v="44"/>
    <x v="44"/>
    <x v="3"/>
    <x v="3"/>
    <x v="44"/>
    <x v="44"/>
    <x v="44"/>
    <x v="0"/>
    <x v="1"/>
    <x v="5"/>
    <x v="1"/>
    <x v="2"/>
    <x v="3"/>
    <x v="6"/>
    <x v="0"/>
    <x v="0"/>
    <x v="1"/>
  </r>
  <r>
    <x v="45"/>
    <x v="35"/>
    <x v="40"/>
    <x v="2"/>
    <x v="1"/>
    <x v="1"/>
    <x v="0"/>
    <x v="14"/>
    <x v="0"/>
    <x v="26"/>
    <x v="37"/>
    <x v="6"/>
    <x v="15"/>
    <x v="1"/>
    <x v="45"/>
    <x v="45"/>
    <x v="4"/>
    <x v="26"/>
    <x v="45"/>
    <x v="45"/>
    <x v="45"/>
    <x v="1"/>
    <x v="1"/>
    <x v="0"/>
    <x v="0"/>
    <x v="1"/>
    <x v="1"/>
    <x v="3"/>
    <x v="0"/>
    <x v="0"/>
    <x v="0"/>
  </r>
  <r>
    <x v="46"/>
    <x v="36"/>
    <x v="41"/>
    <x v="1"/>
    <x v="18"/>
    <x v="0"/>
    <x v="2"/>
    <x v="2"/>
    <x v="0"/>
    <x v="2"/>
    <x v="38"/>
    <x v="1"/>
    <x v="22"/>
    <x v="2"/>
    <x v="46"/>
    <x v="46"/>
    <x v="3"/>
    <x v="3"/>
    <x v="46"/>
    <x v="46"/>
    <x v="46"/>
    <x v="1"/>
    <x v="1"/>
    <x v="0"/>
    <x v="1"/>
    <x v="2"/>
    <x v="3"/>
    <x v="3"/>
    <x v="0"/>
    <x v="0"/>
    <x v="0"/>
  </r>
  <r>
    <x v="47"/>
    <x v="37"/>
    <x v="42"/>
    <x v="3"/>
    <x v="9"/>
    <x v="0"/>
    <x v="2"/>
    <x v="9"/>
    <x v="0"/>
    <x v="15"/>
    <x v="39"/>
    <x v="4"/>
    <x v="23"/>
    <x v="1"/>
    <x v="47"/>
    <x v="47"/>
    <x v="3"/>
    <x v="3"/>
    <x v="47"/>
    <x v="47"/>
    <x v="47"/>
    <x v="0"/>
    <x v="1"/>
    <x v="3"/>
    <x v="3"/>
    <x v="5"/>
    <x v="9"/>
    <x v="2"/>
    <x v="0"/>
    <x v="0"/>
    <x v="1"/>
  </r>
  <r>
    <x v="48"/>
    <x v="38"/>
    <x v="43"/>
    <x v="2"/>
    <x v="4"/>
    <x v="0"/>
    <x v="2"/>
    <x v="9"/>
    <x v="0"/>
    <x v="10"/>
    <x v="40"/>
    <x v="6"/>
    <x v="24"/>
    <x v="1"/>
    <x v="48"/>
    <x v="48"/>
    <x v="4"/>
    <x v="27"/>
    <x v="48"/>
    <x v="48"/>
    <x v="48"/>
    <x v="2"/>
    <x v="1"/>
    <x v="5"/>
    <x v="0"/>
    <x v="1"/>
    <x v="0"/>
    <x v="6"/>
    <x v="0"/>
    <x v="0"/>
    <x v="0"/>
  </r>
  <r>
    <x v="49"/>
    <x v="39"/>
    <x v="44"/>
    <x v="1"/>
    <x v="29"/>
    <x v="0"/>
    <x v="0"/>
    <x v="5"/>
    <x v="0"/>
    <x v="6"/>
    <x v="32"/>
    <x v="0"/>
    <x v="6"/>
    <x v="1"/>
    <x v="49"/>
    <x v="49"/>
    <x v="0"/>
    <x v="28"/>
    <x v="49"/>
    <x v="49"/>
    <x v="49"/>
    <x v="1"/>
    <x v="1"/>
    <x v="2"/>
    <x v="1"/>
    <x v="2"/>
    <x v="4"/>
    <x v="0"/>
    <x v="0"/>
    <x v="0"/>
    <x v="1"/>
  </r>
  <r>
    <x v="50"/>
    <x v="40"/>
    <x v="45"/>
    <x v="2"/>
    <x v="17"/>
    <x v="1"/>
    <x v="2"/>
    <x v="2"/>
    <x v="0"/>
    <x v="2"/>
    <x v="8"/>
    <x v="0"/>
    <x v="0"/>
    <x v="1"/>
    <x v="50"/>
    <x v="50"/>
    <x v="2"/>
    <x v="29"/>
    <x v="50"/>
    <x v="50"/>
    <x v="50"/>
    <x v="1"/>
    <x v="1"/>
    <x v="5"/>
    <x v="0"/>
    <x v="1"/>
    <x v="1"/>
    <x v="1"/>
    <x v="0"/>
    <x v="0"/>
    <x v="0"/>
  </r>
  <r>
    <x v="51"/>
    <x v="40"/>
    <x v="46"/>
    <x v="3"/>
    <x v="22"/>
    <x v="1"/>
    <x v="2"/>
    <x v="2"/>
    <x v="0"/>
    <x v="11"/>
    <x v="4"/>
    <x v="3"/>
    <x v="4"/>
    <x v="1"/>
    <x v="51"/>
    <x v="51"/>
    <x v="3"/>
    <x v="3"/>
    <x v="51"/>
    <x v="51"/>
    <x v="51"/>
    <x v="1"/>
    <x v="1"/>
    <x v="5"/>
    <x v="3"/>
    <x v="0"/>
    <x v="10"/>
    <x v="2"/>
    <x v="0"/>
    <x v="0"/>
    <x v="0"/>
  </r>
  <r>
    <x v="52"/>
    <x v="41"/>
    <x v="47"/>
    <x v="1"/>
    <x v="7"/>
    <x v="0"/>
    <x v="4"/>
    <x v="7"/>
    <x v="0"/>
    <x v="8"/>
    <x v="41"/>
    <x v="2"/>
    <x v="25"/>
    <x v="1"/>
    <x v="52"/>
    <x v="52"/>
    <x v="2"/>
    <x v="30"/>
    <x v="52"/>
    <x v="52"/>
    <x v="52"/>
    <x v="0"/>
    <x v="1"/>
    <x v="6"/>
    <x v="3"/>
    <x v="0"/>
    <x v="7"/>
    <x v="0"/>
    <x v="0"/>
    <x v="0"/>
    <x v="2"/>
  </r>
  <r>
    <x v="53"/>
    <x v="42"/>
    <x v="48"/>
    <x v="2"/>
    <x v="17"/>
    <x v="0"/>
    <x v="0"/>
    <x v="15"/>
    <x v="0"/>
    <x v="29"/>
    <x v="42"/>
    <x v="3"/>
    <x v="26"/>
    <x v="0"/>
    <x v="53"/>
    <x v="53"/>
    <x v="0"/>
    <x v="31"/>
    <x v="53"/>
    <x v="53"/>
    <x v="53"/>
    <x v="0"/>
    <x v="2"/>
    <x v="0"/>
    <x v="3"/>
    <x v="0"/>
    <x v="9"/>
    <x v="4"/>
    <x v="0"/>
    <x v="0"/>
    <x v="0"/>
  </r>
  <r>
    <x v="54"/>
    <x v="43"/>
    <x v="49"/>
    <x v="2"/>
    <x v="30"/>
    <x v="1"/>
    <x v="2"/>
    <x v="2"/>
    <x v="0"/>
    <x v="11"/>
    <x v="43"/>
    <x v="4"/>
    <x v="8"/>
    <x v="1"/>
    <x v="54"/>
    <x v="54"/>
    <x v="0"/>
    <x v="32"/>
    <x v="54"/>
    <x v="54"/>
    <x v="54"/>
    <x v="0"/>
    <x v="1"/>
    <x v="0"/>
    <x v="0"/>
    <x v="1"/>
    <x v="5"/>
    <x v="6"/>
    <x v="0"/>
    <x v="0"/>
    <x v="0"/>
  </r>
  <r>
    <x v="55"/>
    <x v="44"/>
    <x v="50"/>
    <x v="2"/>
    <x v="14"/>
    <x v="1"/>
    <x v="2"/>
    <x v="6"/>
    <x v="3"/>
    <x v="14"/>
    <x v="44"/>
    <x v="1"/>
    <x v="27"/>
    <x v="1"/>
    <x v="55"/>
    <x v="55"/>
    <x v="3"/>
    <x v="3"/>
    <x v="55"/>
    <x v="55"/>
    <x v="55"/>
    <x v="1"/>
    <x v="1"/>
    <x v="0"/>
    <x v="2"/>
    <x v="3"/>
    <x v="6"/>
    <x v="3"/>
    <x v="0"/>
    <x v="0"/>
    <x v="2"/>
  </r>
  <r>
    <x v="56"/>
    <x v="45"/>
    <x v="51"/>
    <x v="3"/>
    <x v="14"/>
    <x v="0"/>
    <x v="1"/>
    <x v="16"/>
    <x v="0"/>
    <x v="30"/>
    <x v="45"/>
    <x v="3"/>
    <x v="28"/>
    <x v="1"/>
    <x v="56"/>
    <x v="56"/>
    <x v="3"/>
    <x v="3"/>
    <x v="56"/>
    <x v="56"/>
    <x v="56"/>
    <x v="1"/>
    <x v="1"/>
    <x v="4"/>
    <x v="4"/>
    <x v="4"/>
    <x v="8"/>
    <x v="4"/>
    <x v="0"/>
    <x v="0"/>
    <x v="1"/>
  </r>
  <r>
    <x v="57"/>
    <x v="46"/>
    <x v="52"/>
    <x v="3"/>
    <x v="31"/>
    <x v="1"/>
    <x v="0"/>
    <x v="15"/>
    <x v="0"/>
    <x v="29"/>
    <x v="32"/>
    <x v="0"/>
    <x v="6"/>
    <x v="1"/>
    <x v="57"/>
    <x v="57"/>
    <x v="0"/>
    <x v="33"/>
    <x v="57"/>
    <x v="57"/>
    <x v="57"/>
    <x v="0"/>
    <x v="1"/>
    <x v="1"/>
    <x v="0"/>
    <x v="1"/>
    <x v="2"/>
    <x v="2"/>
    <x v="0"/>
    <x v="0"/>
    <x v="1"/>
  </r>
  <r>
    <x v="58"/>
    <x v="46"/>
    <x v="53"/>
    <x v="3"/>
    <x v="32"/>
    <x v="0"/>
    <x v="2"/>
    <x v="6"/>
    <x v="1"/>
    <x v="14"/>
    <x v="46"/>
    <x v="3"/>
    <x v="28"/>
    <x v="1"/>
    <x v="58"/>
    <x v="58"/>
    <x v="0"/>
    <x v="34"/>
    <x v="58"/>
    <x v="58"/>
    <x v="58"/>
    <x v="0"/>
    <x v="0"/>
    <x v="3"/>
    <x v="1"/>
    <x v="2"/>
    <x v="4"/>
    <x v="2"/>
    <x v="0"/>
    <x v="0"/>
    <x v="2"/>
  </r>
  <r>
    <x v="59"/>
    <x v="47"/>
    <x v="54"/>
    <x v="3"/>
    <x v="20"/>
    <x v="1"/>
    <x v="0"/>
    <x v="5"/>
    <x v="0"/>
    <x v="23"/>
    <x v="47"/>
    <x v="4"/>
    <x v="8"/>
    <x v="1"/>
    <x v="59"/>
    <x v="59"/>
    <x v="3"/>
    <x v="3"/>
    <x v="59"/>
    <x v="59"/>
    <x v="59"/>
    <x v="2"/>
    <x v="1"/>
    <x v="4"/>
    <x v="2"/>
    <x v="3"/>
    <x v="6"/>
    <x v="5"/>
    <x v="0"/>
    <x v="0"/>
    <x v="1"/>
  </r>
  <r>
    <x v="60"/>
    <x v="48"/>
    <x v="55"/>
    <x v="3"/>
    <x v="24"/>
    <x v="0"/>
    <x v="2"/>
    <x v="6"/>
    <x v="1"/>
    <x v="31"/>
    <x v="16"/>
    <x v="6"/>
    <x v="13"/>
    <x v="0"/>
    <x v="60"/>
    <x v="60"/>
    <x v="2"/>
    <x v="35"/>
    <x v="60"/>
    <x v="60"/>
    <x v="60"/>
    <x v="0"/>
    <x v="1"/>
    <x v="0"/>
    <x v="0"/>
    <x v="1"/>
    <x v="5"/>
    <x v="6"/>
    <x v="1"/>
    <x v="3"/>
    <x v="1"/>
  </r>
  <r>
    <x v="61"/>
    <x v="49"/>
    <x v="56"/>
    <x v="2"/>
    <x v="33"/>
    <x v="0"/>
    <x v="2"/>
    <x v="9"/>
    <x v="0"/>
    <x v="15"/>
    <x v="35"/>
    <x v="2"/>
    <x v="17"/>
    <x v="1"/>
    <x v="61"/>
    <x v="61"/>
    <x v="4"/>
    <x v="36"/>
    <x v="61"/>
    <x v="61"/>
    <x v="61"/>
    <x v="0"/>
    <x v="2"/>
    <x v="5"/>
    <x v="1"/>
    <x v="2"/>
    <x v="4"/>
    <x v="0"/>
    <x v="0"/>
    <x v="0"/>
    <x v="0"/>
  </r>
  <r>
    <x v="62"/>
    <x v="50"/>
    <x v="57"/>
    <x v="3"/>
    <x v="23"/>
    <x v="0"/>
    <x v="2"/>
    <x v="9"/>
    <x v="0"/>
    <x v="32"/>
    <x v="45"/>
    <x v="3"/>
    <x v="28"/>
    <x v="1"/>
    <x v="62"/>
    <x v="62"/>
    <x v="2"/>
    <x v="37"/>
    <x v="62"/>
    <x v="62"/>
    <x v="62"/>
    <x v="3"/>
    <x v="2"/>
    <x v="0"/>
    <x v="3"/>
    <x v="0"/>
    <x v="10"/>
    <x v="3"/>
    <x v="0"/>
    <x v="0"/>
    <x v="1"/>
  </r>
  <r>
    <x v="63"/>
    <x v="51"/>
    <x v="58"/>
    <x v="2"/>
    <x v="34"/>
    <x v="0"/>
    <x v="0"/>
    <x v="14"/>
    <x v="0"/>
    <x v="27"/>
    <x v="48"/>
    <x v="1"/>
    <x v="27"/>
    <x v="1"/>
    <x v="63"/>
    <x v="63"/>
    <x v="4"/>
    <x v="38"/>
    <x v="63"/>
    <x v="63"/>
    <x v="63"/>
    <x v="0"/>
    <x v="2"/>
    <x v="5"/>
    <x v="0"/>
    <x v="1"/>
    <x v="5"/>
    <x v="3"/>
    <x v="0"/>
    <x v="0"/>
    <x v="2"/>
  </r>
  <r>
    <x v="64"/>
    <x v="52"/>
    <x v="59"/>
    <x v="3"/>
    <x v="35"/>
    <x v="0"/>
    <x v="2"/>
    <x v="9"/>
    <x v="0"/>
    <x v="22"/>
    <x v="49"/>
    <x v="2"/>
    <x v="25"/>
    <x v="0"/>
    <x v="64"/>
    <x v="64"/>
    <x v="3"/>
    <x v="3"/>
    <x v="64"/>
    <x v="64"/>
    <x v="64"/>
    <x v="2"/>
    <x v="1"/>
    <x v="5"/>
    <x v="0"/>
    <x v="0"/>
    <x v="0"/>
    <x v="0"/>
    <x v="0"/>
    <x v="0"/>
    <x v="0"/>
  </r>
  <r>
    <x v="65"/>
    <x v="53"/>
    <x v="60"/>
    <x v="2"/>
    <x v="9"/>
    <x v="0"/>
    <x v="0"/>
    <x v="5"/>
    <x v="0"/>
    <x v="6"/>
    <x v="50"/>
    <x v="7"/>
    <x v="16"/>
    <x v="1"/>
    <x v="65"/>
    <x v="65"/>
    <x v="1"/>
    <x v="39"/>
    <x v="65"/>
    <x v="65"/>
    <x v="65"/>
    <x v="0"/>
    <x v="2"/>
    <x v="0"/>
    <x v="0"/>
    <x v="1"/>
    <x v="0"/>
    <x v="2"/>
    <x v="0"/>
    <x v="0"/>
    <x v="0"/>
  </r>
  <r>
    <x v="66"/>
    <x v="54"/>
    <x v="61"/>
    <x v="0"/>
    <x v="16"/>
    <x v="0"/>
    <x v="2"/>
    <x v="2"/>
    <x v="0"/>
    <x v="18"/>
    <x v="25"/>
    <x v="6"/>
    <x v="19"/>
    <x v="1"/>
    <x v="66"/>
    <x v="66"/>
    <x v="3"/>
    <x v="3"/>
    <x v="66"/>
    <x v="66"/>
    <x v="66"/>
    <x v="0"/>
    <x v="2"/>
    <x v="5"/>
    <x v="0"/>
    <x v="1"/>
    <x v="2"/>
    <x v="0"/>
    <x v="0"/>
    <x v="0"/>
    <x v="0"/>
  </r>
  <r>
    <x v="67"/>
    <x v="55"/>
    <x v="62"/>
    <x v="1"/>
    <x v="21"/>
    <x v="1"/>
    <x v="3"/>
    <x v="4"/>
    <x v="0"/>
    <x v="33"/>
    <x v="51"/>
    <x v="0"/>
    <x v="7"/>
    <x v="1"/>
    <x v="67"/>
    <x v="67"/>
    <x v="2"/>
    <x v="40"/>
    <x v="67"/>
    <x v="67"/>
    <x v="67"/>
    <x v="1"/>
    <x v="1"/>
    <x v="2"/>
    <x v="1"/>
    <x v="2"/>
    <x v="3"/>
    <x v="3"/>
    <x v="0"/>
    <x v="0"/>
    <x v="0"/>
  </r>
  <r>
    <x v="68"/>
    <x v="56"/>
    <x v="63"/>
    <x v="1"/>
    <x v="36"/>
    <x v="1"/>
    <x v="3"/>
    <x v="17"/>
    <x v="0"/>
    <x v="34"/>
    <x v="21"/>
    <x v="0"/>
    <x v="0"/>
    <x v="1"/>
    <x v="68"/>
    <x v="68"/>
    <x v="0"/>
    <x v="41"/>
    <x v="68"/>
    <x v="68"/>
    <x v="68"/>
    <x v="2"/>
    <x v="1"/>
    <x v="2"/>
    <x v="4"/>
    <x v="4"/>
    <x v="8"/>
    <x v="0"/>
    <x v="1"/>
    <x v="1"/>
    <x v="1"/>
  </r>
  <r>
    <x v="69"/>
    <x v="57"/>
    <x v="64"/>
    <x v="3"/>
    <x v="37"/>
    <x v="0"/>
    <x v="2"/>
    <x v="6"/>
    <x v="5"/>
    <x v="25"/>
    <x v="43"/>
    <x v="4"/>
    <x v="8"/>
    <x v="0"/>
    <x v="69"/>
    <x v="69"/>
    <x v="3"/>
    <x v="3"/>
    <x v="69"/>
    <x v="69"/>
    <x v="69"/>
    <x v="3"/>
    <x v="1"/>
    <x v="0"/>
    <x v="1"/>
    <x v="2"/>
    <x v="4"/>
    <x v="0"/>
    <x v="0"/>
    <x v="0"/>
    <x v="1"/>
  </r>
  <r>
    <x v="70"/>
    <x v="57"/>
    <x v="65"/>
    <x v="2"/>
    <x v="10"/>
    <x v="1"/>
    <x v="1"/>
    <x v="11"/>
    <x v="0"/>
    <x v="35"/>
    <x v="52"/>
    <x v="6"/>
    <x v="13"/>
    <x v="1"/>
    <x v="70"/>
    <x v="70"/>
    <x v="2"/>
    <x v="42"/>
    <x v="70"/>
    <x v="70"/>
    <x v="70"/>
    <x v="0"/>
    <x v="0"/>
    <x v="5"/>
    <x v="0"/>
    <x v="1"/>
    <x v="0"/>
    <x v="6"/>
    <x v="0"/>
    <x v="0"/>
    <x v="0"/>
  </r>
  <r>
    <x v="71"/>
    <x v="58"/>
    <x v="66"/>
    <x v="2"/>
    <x v="34"/>
    <x v="1"/>
    <x v="1"/>
    <x v="18"/>
    <x v="0"/>
    <x v="36"/>
    <x v="53"/>
    <x v="6"/>
    <x v="13"/>
    <x v="1"/>
    <x v="71"/>
    <x v="71"/>
    <x v="4"/>
    <x v="43"/>
    <x v="71"/>
    <x v="71"/>
    <x v="71"/>
    <x v="1"/>
    <x v="1"/>
    <x v="0"/>
    <x v="0"/>
    <x v="1"/>
    <x v="2"/>
    <x v="5"/>
    <x v="0"/>
    <x v="0"/>
    <x v="0"/>
  </r>
  <r>
    <x v="72"/>
    <x v="59"/>
    <x v="67"/>
    <x v="3"/>
    <x v="36"/>
    <x v="0"/>
    <x v="2"/>
    <x v="2"/>
    <x v="0"/>
    <x v="2"/>
    <x v="54"/>
    <x v="5"/>
    <x v="11"/>
    <x v="0"/>
    <x v="72"/>
    <x v="72"/>
    <x v="2"/>
    <x v="44"/>
    <x v="72"/>
    <x v="72"/>
    <x v="72"/>
    <x v="1"/>
    <x v="1"/>
    <x v="0"/>
    <x v="0"/>
    <x v="0"/>
    <x v="5"/>
    <x v="0"/>
    <x v="0"/>
    <x v="0"/>
    <x v="1"/>
  </r>
  <r>
    <x v="73"/>
    <x v="60"/>
    <x v="17"/>
    <x v="1"/>
    <x v="16"/>
    <x v="0"/>
    <x v="2"/>
    <x v="9"/>
    <x v="0"/>
    <x v="10"/>
    <x v="14"/>
    <x v="5"/>
    <x v="12"/>
    <x v="2"/>
    <x v="73"/>
    <x v="73"/>
    <x v="5"/>
    <x v="45"/>
    <x v="73"/>
    <x v="73"/>
    <x v="73"/>
    <x v="1"/>
    <x v="1"/>
    <x v="2"/>
    <x v="0"/>
    <x v="1"/>
    <x v="2"/>
    <x v="4"/>
    <x v="0"/>
    <x v="0"/>
    <x v="0"/>
  </r>
  <r>
    <x v="74"/>
    <x v="61"/>
    <x v="68"/>
    <x v="2"/>
    <x v="6"/>
    <x v="0"/>
    <x v="1"/>
    <x v="16"/>
    <x v="0"/>
    <x v="30"/>
    <x v="55"/>
    <x v="2"/>
    <x v="17"/>
    <x v="0"/>
    <x v="74"/>
    <x v="74"/>
    <x v="4"/>
    <x v="46"/>
    <x v="74"/>
    <x v="74"/>
    <x v="74"/>
    <x v="0"/>
    <x v="1"/>
    <x v="0"/>
    <x v="0"/>
    <x v="0"/>
    <x v="5"/>
    <x v="6"/>
    <x v="0"/>
    <x v="0"/>
    <x v="1"/>
  </r>
  <r>
    <x v="75"/>
    <x v="62"/>
    <x v="69"/>
    <x v="1"/>
    <x v="23"/>
    <x v="1"/>
    <x v="2"/>
    <x v="6"/>
    <x v="5"/>
    <x v="7"/>
    <x v="56"/>
    <x v="7"/>
    <x v="16"/>
    <x v="2"/>
    <x v="75"/>
    <x v="75"/>
    <x v="3"/>
    <x v="3"/>
    <x v="75"/>
    <x v="75"/>
    <x v="75"/>
    <x v="1"/>
    <x v="1"/>
    <x v="2"/>
    <x v="0"/>
    <x v="0"/>
    <x v="1"/>
    <x v="2"/>
    <x v="0"/>
    <x v="0"/>
    <x v="0"/>
  </r>
  <r>
    <x v="76"/>
    <x v="63"/>
    <x v="70"/>
    <x v="1"/>
    <x v="38"/>
    <x v="0"/>
    <x v="2"/>
    <x v="2"/>
    <x v="0"/>
    <x v="2"/>
    <x v="29"/>
    <x v="5"/>
    <x v="21"/>
    <x v="0"/>
    <x v="76"/>
    <x v="76"/>
    <x v="4"/>
    <x v="47"/>
    <x v="76"/>
    <x v="76"/>
    <x v="76"/>
    <x v="1"/>
    <x v="1"/>
    <x v="0"/>
    <x v="0"/>
    <x v="0"/>
    <x v="1"/>
    <x v="2"/>
    <x v="0"/>
    <x v="0"/>
    <x v="0"/>
  </r>
  <r>
    <x v="77"/>
    <x v="64"/>
    <x v="71"/>
    <x v="2"/>
    <x v="29"/>
    <x v="1"/>
    <x v="2"/>
    <x v="2"/>
    <x v="0"/>
    <x v="18"/>
    <x v="57"/>
    <x v="7"/>
    <x v="16"/>
    <x v="1"/>
    <x v="77"/>
    <x v="77"/>
    <x v="3"/>
    <x v="3"/>
    <x v="77"/>
    <x v="77"/>
    <x v="77"/>
    <x v="3"/>
    <x v="1"/>
    <x v="1"/>
    <x v="2"/>
    <x v="3"/>
    <x v="6"/>
    <x v="2"/>
    <x v="1"/>
    <x v="1"/>
    <x v="1"/>
  </r>
  <r>
    <x v="78"/>
    <x v="65"/>
    <x v="72"/>
    <x v="1"/>
    <x v="27"/>
    <x v="1"/>
    <x v="2"/>
    <x v="6"/>
    <x v="6"/>
    <x v="13"/>
    <x v="7"/>
    <x v="0"/>
    <x v="7"/>
    <x v="3"/>
    <x v="78"/>
    <x v="78"/>
    <x v="3"/>
    <x v="3"/>
    <x v="78"/>
    <x v="78"/>
    <x v="78"/>
    <x v="1"/>
    <x v="1"/>
    <x v="3"/>
    <x v="0"/>
    <x v="0"/>
    <x v="1"/>
    <x v="4"/>
    <x v="0"/>
    <x v="0"/>
    <x v="2"/>
  </r>
  <r>
    <x v="79"/>
    <x v="66"/>
    <x v="73"/>
    <x v="2"/>
    <x v="1"/>
    <x v="1"/>
    <x v="1"/>
    <x v="3"/>
    <x v="0"/>
    <x v="3"/>
    <x v="58"/>
    <x v="0"/>
    <x v="0"/>
    <x v="1"/>
    <x v="79"/>
    <x v="79"/>
    <x v="3"/>
    <x v="3"/>
    <x v="79"/>
    <x v="79"/>
    <x v="79"/>
    <x v="2"/>
    <x v="2"/>
    <x v="0"/>
    <x v="2"/>
    <x v="3"/>
    <x v="6"/>
    <x v="0"/>
    <x v="0"/>
    <x v="0"/>
    <x v="0"/>
  </r>
  <r>
    <x v="80"/>
    <x v="67"/>
    <x v="18"/>
    <x v="2"/>
    <x v="17"/>
    <x v="0"/>
    <x v="2"/>
    <x v="2"/>
    <x v="0"/>
    <x v="11"/>
    <x v="34"/>
    <x v="2"/>
    <x v="2"/>
    <x v="1"/>
    <x v="80"/>
    <x v="80"/>
    <x v="4"/>
    <x v="48"/>
    <x v="80"/>
    <x v="80"/>
    <x v="80"/>
    <x v="1"/>
    <x v="1"/>
    <x v="5"/>
    <x v="1"/>
    <x v="2"/>
    <x v="3"/>
    <x v="0"/>
    <x v="0"/>
    <x v="0"/>
    <x v="0"/>
  </r>
  <r>
    <x v="81"/>
    <x v="68"/>
    <x v="74"/>
    <x v="3"/>
    <x v="39"/>
    <x v="0"/>
    <x v="0"/>
    <x v="19"/>
    <x v="0"/>
    <x v="37"/>
    <x v="41"/>
    <x v="2"/>
    <x v="25"/>
    <x v="1"/>
    <x v="81"/>
    <x v="81"/>
    <x v="3"/>
    <x v="3"/>
    <x v="81"/>
    <x v="81"/>
    <x v="81"/>
    <x v="1"/>
    <x v="1"/>
    <x v="0"/>
    <x v="0"/>
    <x v="0"/>
    <x v="2"/>
    <x v="5"/>
    <x v="1"/>
    <x v="4"/>
    <x v="1"/>
  </r>
  <r>
    <x v="82"/>
    <x v="69"/>
    <x v="59"/>
    <x v="3"/>
    <x v="35"/>
    <x v="0"/>
    <x v="2"/>
    <x v="9"/>
    <x v="0"/>
    <x v="22"/>
    <x v="59"/>
    <x v="5"/>
    <x v="29"/>
    <x v="4"/>
    <x v="82"/>
    <x v="82"/>
    <x v="2"/>
    <x v="49"/>
    <x v="82"/>
    <x v="82"/>
    <x v="82"/>
    <x v="0"/>
    <x v="2"/>
    <x v="0"/>
    <x v="1"/>
    <x v="2"/>
    <x v="4"/>
    <x v="0"/>
    <x v="0"/>
    <x v="0"/>
    <x v="1"/>
  </r>
  <r>
    <x v="83"/>
    <x v="70"/>
    <x v="74"/>
    <x v="1"/>
    <x v="39"/>
    <x v="0"/>
    <x v="0"/>
    <x v="19"/>
    <x v="0"/>
    <x v="37"/>
    <x v="60"/>
    <x v="2"/>
    <x v="2"/>
    <x v="1"/>
    <x v="83"/>
    <x v="83"/>
    <x v="2"/>
    <x v="50"/>
    <x v="83"/>
    <x v="83"/>
    <x v="83"/>
    <x v="2"/>
    <x v="0"/>
    <x v="0"/>
    <x v="0"/>
    <x v="0"/>
    <x v="1"/>
    <x v="7"/>
    <x v="0"/>
    <x v="0"/>
    <x v="0"/>
  </r>
  <r>
    <x v="84"/>
    <x v="71"/>
    <x v="54"/>
    <x v="0"/>
    <x v="20"/>
    <x v="1"/>
    <x v="0"/>
    <x v="5"/>
    <x v="0"/>
    <x v="23"/>
    <x v="18"/>
    <x v="6"/>
    <x v="14"/>
    <x v="1"/>
    <x v="84"/>
    <x v="84"/>
    <x v="3"/>
    <x v="3"/>
    <x v="84"/>
    <x v="84"/>
    <x v="84"/>
    <x v="0"/>
    <x v="2"/>
    <x v="0"/>
    <x v="0"/>
    <x v="0"/>
    <x v="1"/>
    <x v="6"/>
    <x v="0"/>
    <x v="0"/>
    <x v="2"/>
  </r>
  <r>
    <x v="85"/>
    <x v="72"/>
    <x v="58"/>
    <x v="3"/>
    <x v="34"/>
    <x v="0"/>
    <x v="0"/>
    <x v="14"/>
    <x v="0"/>
    <x v="27"/>
    <x v="16"/>
    <x v="6"/>
    <x v="13"/>
    <x v="1"/>
    <x v="85"/>
    <x v="85"/>
    <x v="1"/>
    <x v="51"/>
    <x v="85"/>
    <x v="85"/>
    <x v="85"/>
    <x v="3"/>
    <x v="2"/>
    <x v="3"/>
    <x v="2"/>
    <x v="3"/>
    <x v="6"/>
    <x v="0"/>
    <x v="0"/>
    <x v="0"/>
    <x v="2"/>
  </r>
  <r>
    <x v="86"/>
    <x v="73"/>
    <x v="75"/>
    <x v="1"/>
    <x v="15"/>
    <x v="1"/>
    <x v="1"/>
    <x v="3"/>
    <x v="0"/>
    <x v="3"/>
    <x v="61"/>
    <x v="0"/>
    <x v="30"/>
    <x v="4"/>
    <x v="86"/>
    <x v="86"/>
    <x v="2"/>
    <x v="52"/>
    <x v="86"/>
    <x v="86"/>
    <x v="86"/>
    <x v="0"/>
    <x v="1"/>
    <x v="0"/>
    <x v="1"/>
    <x v="2"/>
    <x v="3"/>
    <x v="3"/>
    <x v="0"/>
    <x v="0"/>
    <x v="2"/>
  </r>
  <r>
    <x v="87"/>
    <x v="74"/>
    <x v="76"/>
    <x v="2"/>
    <x v="39"/>
    <x v="2"/>
    <x v="1"/>
    <x v="18"/>
    <x v="0"/>
    <x v="38"/>
    <x v="62"/>
    <x v="2"/>
    <x v="2"/>
    <x v="0"/>
    <x v="87"/>
    <x v="87"/>
    <x v="3"/>
    <x v="3"/>
    <x v="87"/>
    <x v="87"/>
    <x v="87"/>
    <x v="0"/>
    <x v="1"/>
    <x v="1"/>
    <x v="1"/>
    <x v="2"/>
    <x v="4"/>
    <x v="5"/>
    <x v="0"/>
    <x v="0"/>
    <x v="1"/>
  </r>
  <r>
    <x v="88"/>
    <x v="75"/>
    <x v="77"/>
    <x v="3"/>
    <x v="40"/>
    <x v="0"/>
    <x v="2"/>
    <x v="2"/>
    <x v="0"/>
    <x v="11"/>
    <x v="63"/>
    <x v="2"/>
    <x v="17"/>
    <x v="1"/>
    <x v="88"/>
    <x v="88"/>
    <x v="2"/>
    <x v="53"/>
    <x v="88"/>
    <x v="88"/>
    <x v="88"/>
    <x v="4"/>
    <x v="2"/>
    <x v="2"/>
    <x v="1"/>
    <x v="2"/>
    <x v="4"/>
    <x v="1"/>
    <x v="0"/>
    <x v="0"/>
    <x v="2"/>
  </r>
  <r>
    <x v="89"/>
    <x v="76"/>
    <x v="78"/>
    <x v="3"/>
    <x v="24"/>
    <x v="1"/>
    <x v="0"/>
    <x v="20"/>
    <x v="0"/>
    <x v="39"/>
    <x v="64"/>
    <x v="3"/>
    <x v="26"/>
    <x v="1"/>
    <x v="89"/>
    <x v="89"/>
    <x v="1"/>
    <x v="54"/>
    <x v="89"/>
    <x v="89"/>
    <x v="89"/>
    <x v="0"/>
    <x v="2"/>
    <x v="6"/>
    <x v="0"/>
    <x v="0"/>
    <x v="5"/>
    <x v="2"/>
    <x v="0"/>
    <x v="0"/>
    <x v="0"/>
  </r>
  <r>
    <x v="90"/>
    <x v="77"/>
    <x v="79"/>
    <x v="2"/>
    <x v="34"/>
    <x v="1"/>
    <x v="0"/>
    <x v="13"/>
    <x v="0"/>
    <x v="40"/>
    <x v="44"/>
    <x v="1"/>
    <x v="27"/>
    <x v="1"/>
    <x v="90"/>
    <x v="90"/>
    <x v="3"/>
    <x v="3"/>
    <x v="90"/>
    <x v="90"/>
    <x v="90"/>
    <x v="0"/>
    <x v="1"/>
    <x v="0"/>
    <x v="0"/>
    <x v="1"/>
    <x v="1"/>
    <x v="1"/>
    <x v="0"/>
    <x v="0"/>
    <x v="0"/>
  </r>
  <r>
    <x v="91"/>
    <x v="78"/>
    <x v="80"/>
    <x v="1"/>
    <x v="29"/>
    <x v="1"/>
    <x v="2"/>
    <x v="9"/>
    <x v="0"/>
    <x v="32"/>
    <x v="32"/>
    <x v="0"/>
    <x v="6"/>
    <x v="0"/>
    <x v="91"/>
    <x v="91"/>
    <x v="4"/>
    <x v="55"/>
    <x v="91"/>
    <x v="91"/>
    <x v="91"/>
    <x v="2"/>
    <x v="1"/>
    <x v="0"/>
    <x v="0"/>
    <x v="0"/>
    <x v="1"/>
    <x v="4"/>
    <x v="0"/>
    <x v="0"/>
    <x v="0"/>
  </r>
  <r>
    <x v="92"/>
    <x v="79"/>
    <x v="81"/>
    <x v="3"/>
    <x v="37"/>
    <x v="1"/>
    <x v="3"/>
    <x v="10"/>
    <x v="0"/>
    <x v="41"/>
    <x v="65"/>
    <x v="0"/>
    <x v="31"/>
    <x v="1"/>
    <x v="92"/>
    <x v="92"/>
    <x v="0"/>
    <x v="56"/>
    <x v="92"/>
    <x v="92"/>
    <x v="92"/>
    <x v="0"/>
    <x v="0"/>
    <x v="5"/>
    <x v="2"/>
    <x v="3"/>
    <x v="6"/>
    <x v="0"/>
    <x v="0"/>
    <x v="0"/>
    <x v="2"/>
  </r>
  <r>
    <x v="93"/>
    <x v="80"/>
    <x v="82"/>
    <x v="1"/>
    <x v="25"/>
    <x v="0"/>
    <x v="0"/>
    <x v="0"/>
    <x v="0"/>
    <x v="0"/>
    <x v="2"/>
    <x v="2"/>
    <x v="2"/>
    <x v="1"/>
    <x v="93"/>
    <x v="93"/>
    <x v="3"/>
    <x v="3"/>
    <x v="93"/>
    <x v="93"/>
    <x v="93"/>
    <x v="3"/>
    <x v="1"/>
    <x v="2"/>
    <x v="1"/>
    <x v="2"/>
    <x v="4"/>
    <x v="3"/>
    <x v="0"/>
    <x v="0"/>
    <x v="0"/>
  </r>
  <r>
    <x v="94"/>
    <x v="81"/>
    <x v="83"/>
    <x v="2"/>
    <x v="38"/>
    <x v="0"/>
    <x v="3"/>
    <x v="12"/>
    <x v="0"/>
    <x v="42"/>
    <x v="50"/>
    <x v="7"/>
    <x v="16"/>
    <x v="1"/>
    <x v="94"/>
    <x v="94"/>
    <x v="2"/>
    <x v="57"/>
    <x v="94"/>
    <x v="94"/>
    <x v="94"/>
    <x v="0"/>
    <x v="1"/>
    <x v="6"/>
    <x v="0"/>
    <x v="0"/>
    <x v="5"/>
    <x v="0"/>
    <x v="0"/>
    <x v="0"/>
    <x v="2"/>
  </r>
  <r>
    <x v="95"/>
    <x v="82"/>
    <x v="84"/>
    <x v="2"/>
    <x v="17"/>
    <x v="0"/>
    <x v="4"/>
    <x v="8"/>
    <x v="0"/>
    <x v="9"/>
    <x v="66"/>
    <x v="2"/>
    <x v="2"/>
    <x v="0"/>
    <x v="95"/>
    <x v="95"/>
    <x v="3"/>
    <x v="3"/>
    <x v="95"/>
    <x v="95"/>
    <x v="95"/>
    <x v="2"/>
    <x v="1"/>
    <x v="2"/>
    <x v="0"/>
    <x v="0"/>
    <x v="2"/>
    <x v="6"/>
    <x v="1"/>
    <x v="1"/>
    <x v="1"/>
  </r>
  <r>
    <x v="96"/>
    <x v="83"/>
    <x v="0"/>
    <x v="2"/>
    <x v="0"/>
    <x v="0"/>
    <x v="0"/>
    <x v="0"/>
    <x v="0"/>
    <x v="0"/>
    <x v="67"/>
    <x v="1"/>
    <x v="32"/>
    <x v="0"/>
    <x v="96"/>
    <x v="96"/>
    <x v="5"/>
    <x v="58"/>
    <x v="96"/>
    <x v="96"/>
    <x v="96"/>
    <x v="0"/>
    <x v="0"/>
    <x v="0"/>
    <x v="1"/>
    <x v="2"/>
    <x v="4"/>
    <x v="4"/>
    <x v="0"/>
    <x v="0"/>
    <x v="1"/>
  </r>
  <r>
    <x v="97"/>
    <x v="84"/>
    <x v="85"/>
    <x v="0"/>
    <x v="22"/>
    <x v="0"/>
    <x v="2"/>
    <x v="9"/>
    <x v="0"/>
    <x v="32"/>
    <x v="26"/>
    <x v="0"/>
    <x v="10"/>
    <x v="1"/>
    <x v="97"/>
    <x v="97"/>
    <x v="3"/>
    <x v="3"/>
    <x v="97"/>
    <x v="97"/>
    <x v="97"/>
    <x v="4"/>
    <x v="2"/>
    <x v="3"/>
    <x v="0"/>
    <x v="1"/>
    <x v="1"/>
    <x v="4"/>
    <x v="0"/>
    <x v="0"/>
    <x v="1"/>
  </r>
  <r>
    <x v="98"/>
    <x v="85"/>
    <x v="86"/>
    <x v="2"/>
    <x v="13"/>
    <x v="0"/>
    <x v="1"/>
    <x v="18"/>
    <x v="0"/>
    <x v="36"/>
    <x v="68"/>
    <x v="2"/>
    <x v="33"/>
    <x v="1"/>
    <x v="98"/>
    <x v="98"/>
    <x v="4"/>
    <x v="59"/>
    <x v="98"/>
    <x v="98"/>
    <x v="98"/>
    <x v="2"/>
    <x v="0"/>
    <x v="0"/>
    <x v="3"/>
    <x v="0"/>
    <x v="9"/>
    <x v="1"/>
    <x v="0"/>
    <x v="0"/>
    <x v="1"/>
  </r>
  <r>
    <x v="99"/>
    <x v="86"/>
    <x v="87"/>
    <x v="2"/>
    <x v="22"/>
    <x v="1"/>
    <x v="0"/>
    <x v="15"/>
    <x v="0"/>
    <x v="43"/>
    <x v="69"/>
    <x v="5"/>
    <x v="12"/>
    <x v="1"/>
    <x v="99"/>
    <x v="99"/>
    <x v="3"/>
    <x v="3"/>
    <x v="99"/>
    <x v="99"/>
    <x v="99"/>
    <x v="1"/>
    <x v="1"/>
    <x v="2"/>
    <x v="2"/>
    <x v="3"/>
    <x v="6"/>
    <x v="0"/>
    <x v="0"/>
    <x v="0"/>
    <x v="0"/>
  </r>
  <r>
    <x v="100"/>
    <x v="87"/>
    <x v="88"/>
    <x v="3"/>
    <x v="31"/>
    <x v="0"/>
    <x v="2"/>
    <x v="6"/>
    <x v="6"/>
    <x v="44"/>
    <x v="70"/>
    <x v="1"/>
    <x v="32"/>
    <x v="0"/>
    <x v="100"/>
    <x v="100"/>
    <x v="6"/>
    <x v="60"/>
    <x v="100"/>
    <x v="100"/>
    <x v="100"/>
    <x v="4"/>
    <x v="2"/>
    <x v="4"/>
    <x v="1"/>
    <x v="2"/>
    <x v="4"/>
    <x v="0"/>
    <x v="0"/>
    <x v="0"/>
    <x v="0"/>
  </r>
  <r>
    <x v="101"/>
    <x v="87"/>
    <x v="11"/>
    <x v="3"/>
    <x v="11"/>
    <x v="1"/>
    <x v="2"/>
    <x v="2"/>
    <x v="0"/>
    <x v="11"/>
    <x v="71"/>
    <x v="6"/>
    <x v="14"/>
    <x v="1"/>
    <x v="101"/>
    <x v="101"/>
    <x v="2"/>
    <x v="61"/>
    <x v="101"/>
    <x v="101"/>
    <x v="101"/>
    <x v="3"/>
    <x v="1"/>
    <x v="5"/>
    <x v="1"/>
    <x v="2"/>
    <x v="3"/>
    <x v="4"/>
    <x v="0"/>
    <x v="0"/>
    <x v="1"/>
  </r>
  <r>
    <x v="102"/>
    <x v="88"/>
    <x v="89"/>
    <x v="3"/>
    <x v="22"/>
    <x v="0"/>
    <x v="2"/>
    <x v="2"/>
    <x v="0"/>
    <x v="2"/>
    <x v="72"/>
    <x v="2"/>
    <x v="25"/>
    <x v="0"/>
    <x v="102"/>
    <x v="102"/>
    <x v="2"/>
    <x v="62"/>
    <x v="102"/>
    <x v="102"/>
    <x v="102"/>
    <x v="1"/>
    <x v="1"/>
    <x v="0"/>
    <x v="0"/>
    <x v="0"/>
    <x v="2"/>
    <x v="7"/>
    <x v="0"/>
    <x v="0"/>
    <x v="3"/>
  </r>
  <r>
    <x v="103"/>
    <x v="89"/>
    <x v="90"/>
    <x v="3"/>
    <x v="18"/>
    <x v="1"/>
    <x v="4"/>
    <x v="21"/>
    <x v="0"/>
    <x v="45"/>
    <x v="73"/>
    <x v="0"/>
    <x v="31"/>
    <x v="1"/>
    <x v="103"/>
    <x v="103"/>
    <x v="4"/>
    <x v="63"/>
    <x v="103"/>
    <x v="103"/>
    <x v="103"/>
    <x v="2"/>
    <x v="2"/>
    <x v="3"/>
    <x v="1"/>
    <x v="2"/>
    <x v="4"/>
    <x v="2"/>
    <x v="0"/>
    <x v="0"/>
    <x v="4"/>
  </r>
  <r>
    <x v="104"/>
    <x v="90"/>
    <x v="78"/>
    <x v="3"/>
    <x v="24"/>
    <x v="1"/>
    <x v="0"/>
    <x v="20"/>
    <x v="0"/>
    <x v="39"/>
    <x v="74"/>
    <x v="4"/>
    <x v="9"/>
    <x v="1"/>
    <x v="104"/>
    <x v="104"/>
    <x v="2"/>
    <x v="64"/>
    <x v="104"/>
    <x v="104"/>
    <x v="104"/>
    <x v="3"/>
    <x v="1"/>
    <x v="0"/>
    <x v="0"/>
    <x v="1"/>
    <x v="5"/>
    <x v="4"/>
    <x v="0"/>
    <x v="0"/>
    <x v="1"/>
  </r>
  <r>
    <x v="105"/>
    <x v="90"/>
    <x v="91"/>
    <x v="3"/>
    <x v="38"/>
    <x v="0"/>
    <x v="2"/>
    <x v="9"/>
    <x v="0"/>
    <x v="32"/>
    <x v="39"/>
    <x v="4"/>
    <x v="23"/>
    <x v="0"/>
    <x v="105"/>
    <x v="105"/>
    <x v="2"/>
    <x v="65"/>
    <x v="105"/>
    <x v="105"/>
    <x v="105"/>
    <x v="0"/>
    <x v="1"/>
    <x v="5"/>
    <x v="0"/>
    <x v="1"/>
    <x v="2"/>
    <x v="4"/>
    <x v="0"/>
    <x v="0"/>
    <x v="0"/>
  </r>
  <r>
    <x v="106"/>
    <x v="91"/>
    <x v="92"/>
    <x v="2"/>
    <x v="41"/>
    <x v="1"/>
    <x v="3"/>
    <x v="10"/>
    <x v="0"/>
    <x v="12"/>
    <x v="75"/>
    <x v="2"/>
    <x v="33"/>
    <x v="1"/>
    <x v="106"/>
    <x v="106"/>
    <x v="3"/>
    <x v="3"/>
    <x v="106"/>
    <x v="106"/>
    <x v="106"/>
    <x v="3"/>
    <x v="1"/>
    <x v="0"/>
    <x v="1"/>
    <x v="2"/>
    <x v="4"/>
    <x v="3"/>
    <x v="0"/>
    <x v="0"/>
    <x v="0"/>
  </r>
  <r>
    <x v="107"/>
    <x v="92"/>
    <x v="93"/>
    <x v="2"/>
    <x v="8"/>
    <x v="1"/>
    <x v="1"/>
    <x v="16"/>
    <x v="0"/>
    <x v="30"/>
    <x v="76"/>
    <x v="6"/>
    <x v="19"/>
    <x v="0"/>
    <x v="107"/>
    <x v="107"/>
    <x v="0"/>
    <x v="66"/>
    <x v="107"/>
    <x v="107"/>
    <x v="107"/>
    <x v="3"/>
    <x v="1"/>
    <x v="0"/>
    <x v="1"/>
    <x v="2"/>
    <x v="4"/>
    <x v="0"/>
    <x v="0"/>
    <x v="0"/>
    <x v="0"/>
  </r>
  <r>
    <x v="108"/>
    <x v="92"/>
    <x v="15"/>
    <x v="3"/>
    <x v="14"/>
    <x v="1"/>
    <x v="2"/>
    <x v="9"/>
    <x v="0"/>
    <x v="15"/>
    <x v="77"/>
    <x v="6"/>
    <x v="15"/>
    <x v="1"/>
    <x v="108"/>
    <x v="108"/>
    <x v="2"/>
    <x v="67"/>
    <x v="108"/>
    <x v="108"/>
    <x v="108"/>
    <x v="1"/>
    <x v="1"/>
    <x v="0"/>
    <x v="1"/>
    <x v="2"/>
    <x v="4"/>
    <x v="6"/>
    <x v="1"/>
    <x v="4"/>
    <x v="1"/>
  </r>
  <r>
    <x v="109"/>
    <x v="93"/>
    <x v="94"/>
    <x v="2"/>
    <x v="36"/>
    <x v="0"/>
    <x v="1"/>
    <x v="18"/>
    <x v="0"/>
    <x v="38"/>
    <x v="77"/>
    <x v="6"/>
    <x v="15"/>
    <x v="1"/>
    <x v="109"/>
    <x v="109"/>
    <x v="2"/>
    <x v="68"/>
    <x v="109"/>
    <x v="109"/>
    <x v="109"/>
    <x v="0"/>
    <x v="2"/>
    <x v="2"/>
    <x v="1"/>
    <x v="2"/>
    <x v="3"/>
    <x v="6"/>
    <x v="0"/>
    <x v="0"/>
    <x v="0"/>
  </r>
  <r>
    <x v="110"/>
    <x v="93"/>
    <x v="95"/>
    <x v="3"/>
    <x v="28"/>
    <x v="1"/>
    <x v="0"/>
    <x v="15"/>
    <x v="0"/>
    <x v="46"/>
    <x v="50"/>
    <x v="7"/>
    <x v="16"/>
    <x v="1"/>
    <x v="110"/>
    <x v="110"/>
    <x v="2"/>
    <x v="69"/>
    <x v="110"/>
    <x v="110"/>
    <x v="110"/>
    <x v="0"/>
    <x v="0"/>
    <x v="0"/>
    <x v="0"/>
    <x v="1"/>
    <x v="5"/>
    <x v="6"/>
    <x v="0"/>
    <x v="0"/>
    <x v="1"/>
  </r>
  <r>
    <x v="111"/>
    <x v="94"/>
    <x v="14"/>
    <x v="2"/>
    <x v="13"/>
    <x v="0"/>
    <x v="2"/>
    <x v="6"/>
    <x v="3"/>
    <x v="14"/>
    <x v="26"/>
    <x v="0"/>
    <x v="10"/>
    <x v="0"/>
    <x v="111"/>
    <x v="111"/>
    <x v="3"/>
    <x v="3"/>
    <x v="111"/>
    <x v="111"/>
    <x v="111"/>
    <x v="0"/>
    <x v="1"/>
    <x v="4"/>
    <x v="0"/>
    <x v="1"/>
    <x v="2"/>
    <x v="0"/>
    <x v="0"/>
    <x v="0"/>
    <x v="1"/>
  </r>
  <r>
    <x v="112"/>
    <x v="95"/>
    <x v="96"/>
    <x v="2"/>
    <x v="5"/>
    <x v="0"/>
    <x v="2"/>
    <x v="2"/>
    <x v="0"/>
    <x v="18"/>
    <x v="78"/>
    <x v="0"/>
    <x v="30"/>
    <x v="1"/>
    <x v="112"/>
    <x v="112"/>
    <x v="2"/>
    <x v="70"/>
    <x v="112"/>
    <x v="112"/>
    <x v="112"/>
    <x v="2"/>
    <x v="2"/>
    <x v="0"/>
    <x v="1"/>
    <x v="2"/>
    <x v="3"/>
    <x v="0"/>
    <x v="1"/>
    <x v="5"/>
    <x v="1"/>
  </r>
  <r>
    <x v="113"/>
    <x v="96"/>
    <x v="97"/>
    <x v="1"/>
    <x v="30"/>
    <x v="0"/>
    <x v="2"/>
    <x v="2"/>
    <x v="0"/>
    <x v="18"/>
    <x v="79"/>
    <x v="5"/>
    <x v="29"/>
    <x v="1"/>
    <x v="113"/>
    <x v="113"/>
    <x v="3"/>
    <x v="3"/>
    <x v="113"/>
    <x v="113"/>
    <x v="113"/>
    <x v="0"/>
    <x v="2"/>
    <x v="1"/>
    <x v="1"/>
    <x v="2"/>
    <x v="4"/>
    <x v="4"/>
    <x v="1"/>
    <x v="2"/>
    <x v="1"/>
  </r>
  <r>
    <x v="114"/>
    <x v="96"/>
    <x v="98"/>
    <x v="2"/>
    <x v="8"/>
    <x v="0"/>
    <x v="1"/>
    <x v="11"/>
    <x v="0"/>
    <x v="47"/>
    <x v="80"/>
    <x v="3"/>
    <x v="34"/>
    <x v="0"/>
    <x v="114"/>
    <x v="114"/>
    <x v="4"/>
    <x v="71"/>
    <x v="114"/>
    <x v="114"/>
    <x v="114"/>
    <x v="0"/>
    <x v="1"/>
    <x v="0"/>
    <x v="1"/>
    <x v="2"/>
    <x v="3"/>
    <x v="3"/>
    <x v="0"/>
    <x v="0"/>
    <x v="0"/>
  </r>
  <r>
    <x v="115"/>
    <x v="97"/>
    <x v="99"/>
    <x v="3"/>
    <x v="39"/>
    <x v="1"/>
    <x v="3"/>
    <x v="10"/>
    <x v="0"/>
    <x v="12"/>
    <x v="81"/>
    <x v="2"/>
    <x v="5"/>
    <x v="0"/>
    <x v="115"/>
    <x v="115"/>
    <x v="4"/>
    <x v="72"/>
    <x v="115"/>
    <x v="115"/>
    <x v="115"/>
    <x v="0"/>
    <x v="1"/>
    <x v="0"/>
    <x v="0"/>
    <x v="0"/>
    <x v="2"/>
    <x v="3"/>
    <x v="0"/>
    <x v="0"/>
    <x v="1"/>
  </r>
  <r>
    <x v="116"/>
    <x v="98"/>
    <x v="100"/>
    <x v="2"/>
    <x v="25"/>
    <x v="0"/>
    <x v="0"/>
    <x v="13"/>
    <x v="0"/>
    <x v="28"/>
    <x v="82"/>
    <x v="7"/>
    <x v="35"/>
    <x v="0"/>
    <x v="116"/>
    <x v="116"/>
    <x v="4"/>
    <x v="73"/>
    <x v="116"/>
    <x v="116"/>
    <x v="116"/>
    <x v="4"/>
    <x v="2"/>
    <x v="3"/>
    <x v="3"/>
    <x v="5"/>
    <x v="10"/>
    <x v="2"/>
    <x v="0"/>
    <x v="0"/>
    <x v="2"/>
  </r>
  <r>
    <x v="117"/>
    <x v="99"/>
    <x v="39"/>
    <x v="3"/>
    <x v="28"/>
    <x v="0"/>
    <x v="0"/>
    <x v="13"/>
    <x v="0"/>
    <x v="28"/>
    <x v="67"/>
    <x v="1"/>
    <x v="32"/>
    <x v="1"/>
    <x v="117"/>
    <x v="117"/>
    <x v="2"/>
    <x v="74"/>
    <x v="117"/>
    <x v="117"/>
    <x v="117"/>
    <x v="1"/>
    <x v="1"/>
    <x v="0"/>
    <x v="0"/>
    <x v="1"/>
    <x v="2"/>
    <x v="2"/>
    <x v="0"/>
    <x v="0"/>
    <x v="0"/>
  </r>
  <r>
    <x v="118"/>
    <x v="100"/>
    <x v="91"/>
    <x v="0"/>
    <x v="38"/>
    <x v="0"/>
    <x v="2"/>
    <x v="9"/>
    <x v="0"/>
    <x v="32"/>
    <x v="83"/>
    <x v="7"/>
    <x v="35"/>
    <x v="4"/>
    <x v="118"/>
    <x v="118"/>
    <x v="0"/>
    <x v="75"/>
    <x v="118"/>
    <x v="118"/>
    <x v="118"/>
    <x v="0"/>
    <x v="2"/>
    <x v="0"/>
    <x v="1"/>
    <x v="2"/>
    <x v="4"/>
    <x v="0"/>
    <x v="0"/>
    <x v="0"/>
    <x v="2"/>
  </r>
  <r>
    <x v="119"/>
    <x v="100"/>
    <x v="101"/>
    <x v="1"/>
    <x v="12"/>
    <x v="1"/>
    <x v="1"/>
    <x v="3"/>
    <x v="0"/>
    <x v="3"/>
    <x v="46"/>
    <x v="3"/>
    <x v="28"/>
    <x v="1"/>
    <x v="119"/>
    <x v="119"/>
    <x v="4"/>
    <x v="76"/>
    <x v="119"/>
    <x v="100"/>
    <x v="119"/>
    <x v="0"/>
    <x v="0"/>
    <x v="1"/>
    <x v="0"/>
    <x v="1"/>
    <x v="1"/>
    <x v="6"/>
    <x v="0"/>
    <x v="0"/>
    <x v="0"/>
  </r>
  <r>
    <x v="120"/>
    <x v="101"/>
    <x v="23"/>
    <x v="2"/>
    <x v="21"/>
    <x v="1"/>
    <x v="2"/>
    <x v="9"/>
    <x v="0"/>
    <x v="19"/>
    <x v="84"/>
    <x v="4"/>
    <x v="36"/>
    <x v="1"/>
    <x v="120"/>
    <x v="120"/>
    <x v="3"/>
    <x v="3"/>
    <x v="120"/>
    <x v="119"/>
    <x v="120"/>
    <x v="3"/>
    <x v="2"/>
    <x v="2"/>
    <x v="2"/>
    <x v="3"/>
    <x v="6"/>
    <x v="0"/>
    <x v="0"/>
    <x v="0"/>
    <x v="1"/>
  </r>
  <r>
    <x v="121"/>
    <x v="102"/>
    <x v="32"/>
    <x v="2"/>
    <x v="16"/>
    <x v="0"/>
    <x v="3"/>
    <x v="12"/>
    <x v="0"/>
    <x v="17"/>
    <x v="85"/>
    <x v="6"/>
    <x v="15"/>
    <x v="0"/>
    <x v="121"/>
    <x v="121"/>
    <x v="3"/>
    <x v="3"/>
    <x v="121"/>
    <x v="120"/>
    <x v="121"/>
    <x v="3"/>
    <x v="2"/>
    <x v="5"/>
    <x v="4"/>
    <x v="4"/>
    <x v="8"/>
    <x v="4"/>
    <x v="0"/>
    <x v="0"/>
    <x v="0"/>
  </r>
  <r>
    <x v="122"/>
    <x v="103"/>
    <x v="102"/>
    <x v="2"/>
    <x v="40"/>
    <x v="1"/>
    <x v="0"/>
    <x v="5"/>
    <x v="0"/>
    <x v="48"/>
    <x v="86"/>
    <x v="7"/>
    <x v="37"/>
    <x v="0"/>
    <x v="122"/>
    <x v="122"/>
    <x v="2"/>
    <x v="77"/>
    <x v="122"/>
    <x v="121"/>
    <x v="122"/>
    <x v="3"/>
    <x v="0"/>
    <x v="2"/>
    <x v="0"/>
    <x v="1"/>
    <x v="1"/>
    <x v="5"/>
    <x v="0"/>
    <x v="0"/>
    <x v="0"/>
  </r>
  <r>
    <x v="123"/>
    <x v="104"/>
    <x v="77"/>
    <x v="2"/>
    <x v="40"/>
    <x v="0"/>
    <x v="2"/>
    <x v="2"/>
    <x v="0"/>
    <x v="11"/>
    <x v="52"/>
    <x v="6"/>
    <x v="13"/>
    <x v="0"/>
    <x v="123"/>
    <x v="123"/>
    <x v="3"/>
    <x v="3"/>
    <x v="123"/>
    <x v="122"/>
    <x v="123"/>
    <x v="0"/>
    <x v="1"/>
    <x v="0"/>
    <x v="0"/>
    <x v="1"/>
    <x v="5"/>
    <x v="6"/>
    <x v="0"/>
    <x v="0"/>
    <x v="0"/>
  </r>
  <r>
    <x v="124"/>
    <x v="105"/>
    <x v="103"/>
    <x v="2"/>
    <x v="24"/>
    <x v="1"/>
    <x v="2"/>
    <x v="6"/>
    <x v="7"/>
    <x v="49"/>
    <x v="87"/>
    <x v="1"/>
    <x v="38"/>
    <x v="1"/>
    <x v="124"/>
    <x v="124"/>
    <x v="6"/>
    <x v="78"/>
    <x v="124"/>
    <x v="123"/>
    <x v="124"/>
    <x v="0"/>
    <x v="2"/>
    <x v="0"/>
    <x v="0"/>
    <x v="1"/>
    <x v="1"/>
    <x v="5"/>
    <x v="0"/>
    <x v="0"/>
    <x v="0"/>
  </r>
  <r>
    <x v="125"/>
    <x v="106"/>
    <x v="104"/>
    <x v="3"/>
    <x v="41"/>
    <x v="0"/>
    <x v="2"/>
    <x v="9"/>
    <x v="0"/>
    <x v="15"/>
    <x v="33"/>
    <x v="0"/>
    <x v="6"/>
    <x v="1"/>
    <x v="125"/>
    <x v="125"/>
    <x v="2"/>
    <x v="79"/>
    <x v="125"/>
    <x v="124"/>
    <x v="125"/>
    <x v="3"/>
    <x v="1"/>
    <x v="0"/>
    <x v="0"/>
    <x v="0"/>
    <x v="0"/>
    <x v="0"/>
    <x v="0"/>
    <x v="0"/>
    <x v="1"/>
  </r>
  <r>
    <x v="126"/>
    <x v="107"/>
    <x v="105"/>
    <x v="3"/>
    <x v="13"/>
    <x v="1"/>
    <x v="2"/>
    <x v="9"/>
    <x v="0"/>
    <x v="15"/>
    <x v="7"/>
    <x v="0"/>
    <x v="7"/>
    <x v="1"/>
    <x v="126"/>
    <x v="126"/>
    <x v="4"/>
    <x v="80"/>
    <x v="126"/>
    <x v="125"/>
    <x v="126"/>
    <x v="1"/>
    <x v="1"/>
    <x v="0"/>
    <x v="0"/>
    <x v="0"/>
    <x v="2"/>
    <x v="1"/>
    <x v="0"/>
    <x v="0"/>
    <x v="0"/>
  </r>
  <r>
    <x v="127"/>
    <x v="108"/>
    <x v="106"/>
    <x v="2"/>
    <x v="23"/>
    <x v="1"/>
    <x v="0"/>
    <x v="20"/>
    <x v="0"/>
    <x v="50"/>
    <x v="88"/>
    <x v="3"/>
    <x v="4"/>
    <x v="1"/>
    <x v="127"/>
    <x v="127"/>
    <x v="3"/>
    <x v="3"/>
    <x v="127"/>
    <x v="126"/>
    <x v="127"/>
    <x v="1"/>
    <x v="1"/>
    <x v="0"/>
    <x v="1"/>
    <x v="2"/>
    <x v="3"/>
    <x v="6"/>
    <x v="0"/>
    <x v="0"/>
    <x v="1"/>
  </r>
  <r>
    <x v="128"/>
    <x v="109"/>
    <x v="107"/>
    <x v="2"/>
    <x v="42"/>
    <x v="1"/>
    <x v="0"/>
    <x v="20"/>
    <x v="0"/>
    <x v="39"/>
    <x v="61"/>
    <x v="0"/>
    <x v="30"/>
    <x v="0"/>
    <x v="128"/>
    <x v="128"/>
    <x v="3"/>
    <x v="3"/>
    <x v="128"/>
    <x v="127"/>
    <x v="128"/>
    <x v="3"/>
    <x v="2"/>
    <x v="5"/>
    <x v="1"/>
    <x v="2"/>
    <x v="4"/>
    <x v="4"/>
    <x v="0"/>
    <x v="0"/>
    <x v="0"/>
  </r>
  <r>
    <x v="129"/>
    <x v="110"/>
    <x v="108"/>
    <x v="0"/>
    <x v="1"/>
    <x v="0"/>
    <x v="2"/>
    <x v="6"/>
    <x v="4"/>
    <x v="51"/>
    <x v="89"/>
    <x v="7"/>
    <x v="37"/>
    <x v="2"/>
    <x v="129"/>
    <x v="129"/>
    <x v="3"/>
    <x v="3"/>
    <x v="129"/>
    <x v="128"/>
    <x v="129"/>
    <x v="1"/>
    <x v="1"/>
    <x v="4"/>
    <x v="1"/>
    <x v="2"/>
    <x v="3"/>
    <x v="6"/>
    <x v="0"/>
    <x v="0"/>
    <x v="0"/>
  </r>
  <r>
    <x v="130"/>
    <x v="111"/>
    <x v="21"/>
    <x v="1"/>
    <x v="2"/>
    <x v="1"/>
    <x v="2"/>
    <x v="2"/>
    <x v="0"/>
    <x v="2"/>
    <x v="78"/>
    <x v="0"/>
    <x v="30"/>
    <x v="3"/>
    <x v="130"/>
    <x v="130"/>
    <x v="0"/>
    <x v="81"/>
    <x v="130"/>
    <x v="129"/>
    <x v="130"/>
    <x v="0"/>
    <x v="1"/>
    <x v="4"/>
    <x v="0"/>
    <x v="0"/>
    <x v="2"/>
    <x v="0"/>
    <x v="0"/>
    <x v="0"/>
    <x v="0"/>
  </r>
  <r>
    <x v="131"/>
    <x v="112"/>
    <x v="109"/>
    <x v="3"/>
    <x v="10"/>
    <x v="1"/>
    <x v="1"/>
    <x v="1"/>
    <x v="0"/>
    <x v="52"/>
    <x v="90"/>
    <x v="5"/>
    <x v="29"/>
    <x v="0"/>
    <x v="131"/>
    <x v="131"/>
    <x v="0"/>
    <x v="82"/>
    <x v="131"/>
    <x v="130"/>
    <x v="131"/>
    <x v="1"/>
    <x v="1"/>
    <x v="0"/>
    <x v="0"/>
    <x v="1"/>
    <x v="1"/>
    <x v="6"/>
    <x v="0"/>
    <x v="0"/>
    <x v="1"/>
  </r>
  <r>
    <x v="132"/>
    <x v="112"/>
    <x v="26"/>
    <x v="2"/>
    <x v="11"/>
    <x v="0"/>
    <x v="0"/>
    <x v="13"/>
    <x v="0"/>
    <x v="21"/>
    <x v="91"/>
    <x v="0"/>
    <x v="31"/>
    <x v="1"/>
    <x v="132"/>
    <x v="132"/>
    <x v="3"/>
    <x v="3"/>
    <x v="132"/>
    <x v="131"/>
    <x v="132"/>
    <x v="0"/>
    <x v="1"/>
    <x v="5"/>
    <x v="3"/>
    <x v="0"/>
    <x v="5"/>
    <x v="2"/>
    <x v="1"/>
    <x v="1"/>
    <x v="1"/>
  </r>
  <r>
    <x v="133"/>
    <x v="113"/>
    <x v="110"/>
    <x v="3"/>
    <x v="2"/>
    <x v="1"/>
    <x v="1"/>
    <x v="16"/>
    <x v="0"/>
    <x v="30"/>
    <x v="68"/>
    <x v="2"/>
    <x v="33"/>
    <x v="0"/>
    <x v="133"/>
    <x v="133"/>
    <x v="3"/>
    <x v="3"/>
    <x v="133"/>
    <x v="132"/>
    <x v="133"/>
    <x v="1"/>
    <x v="1"/>
    <x v="3"/>
    <x v="0"/>
    <x v="0"/>
    <x v="5"/>
    <x v="6"/>
    <x v="0"/>
    <x v="0"/>
    <x v="2"/>
  </r>
  <r>
    <x v="134"/>
    <x v="114"/>
    <x v="111"/>
    <x v="3"/>
    <x v="8"/>
    <x v="0"/>
    <x v="1"/>
    <x v="3"/>
    <x v="0"/>
    <x v="3"/>
    <x v="92"/>
    <x v="6"/>
    <x v="24"/>
    <x v="1"/>
    <x v="134"/>
    <x v="134"/>
    <x v="3"/>
    <x v="3"/>
    <x v="134"/>
    <x v="133"/>
    <x v="134"/>
    <x v="0"/>
    <x v="2"/>
    <x v="0"/>
    <x v="1"/>
    <x v="2"/>
    <x v="4"/>
    <x v="3"/>
    <x v="0"/>
    <x v="0"/>
    <x v="0"/>
  </r>
  <r>
    <x v="135"/>
    <x v="115"/>
    <x v="112"/>
    <x v="1"/>
    <x v="6"/>
    <x v="1"/>
    <x v="2"/>
    <x v="9"/>
    <x v="0"/>
    <x v="22"/>
    <x v="71"/>
    <x v="6"/>
    <x v="14"/>
    <x v="0"/>
    <x v="135"/>
    <x v="135"/>
    <x v="3"/>
    <x v="3"/>
    <x v="135"/>
    <x v="134"/>
    <x v="135"/>
    <x v="0"/>
    <x v="1"/>
    <x v="6"/>
    <x v="0"/>
    <x v="0"/>
    <x v="5"/>
    <x v="1"/>
    <x v="1"/>
    <x v="4"/>
    <x v="1"/>
  </r>
  <r>
    <x v="136"/>
    <x v="116"/>
    <x v="113"/>
    <x v="1"/>
    <x v="14"/>
    <x v="1"/>
    <x v="2"/>
    <x v="2"/>
    <x v="0"/>
    <x v="18"/>
    <x v="58"/>
    <x v="0"/>
    <x v="0"/>
    <x v="2"/>
    <x v="136"/>
    <x v="136"/>
    <x v="5"/>
    <x v="83"/>
    <x v="136"/>
    <x v="135"/>
    <x v="136"/>
    <x v="0"/>
    <x v="1"/>
    <x v="0"/>
    <x v="0"/>
    <x v="0"/>
    <x v="2"/>
    <x v="0"/>
    <x v="1"/>
    <x v="5"/>
    <x v="1"/>
  </r>
  <r>
    <x v="137"/>
    <x v="116"/>
    <x v="114"/>
    <x v="3"/>
    <x v="8"/>
    <x v="1"/>
    <x v="2"/>
    <x v="6"/>
    <x v="5"/>
    <x v="53"/>
    <x v="84"/>
    <x v="4"/>
    <x v="36"/>
    <x v="1"/>
    <x v="137"/>
    <x v="137"/>
    <x v="0"/>
    <x v="84"/>
    <x v="137"/>
    <x v="136"/>
    <x v="137"/>
    <x v="2"/>
    <x v="1"/>
    <x v="0"/>
    <x v="1"/>
    <x v="2"/>
    <x v="4"/>
    <x v="0"/>
    <x v="0"/>
    <x v="0"/>
    <x v="1"/>
  </r>
  <r>
    <x v="138"/>
    <x v="117"/>
    <x v="115"/>
    <x v="3"/>
    <x v="4"/>
    <x v="0"/>
    <x v="0"/>
    <x v="5"/>
    <x v="0"/>
    <x v="23"/>
    <x v="93"/>
    <x v="6"/>
    <x v="15"/>
    <x v="3"/>
    <x v="138"/>
    <x v="138"/>
    <x v="3"/>
    <x v="3"/>
    <x v="138"/>
    <x v="137"/>
    <x v="138"/>
    <x v="2"/>
    <x v="1"/>
    <x v="2"/>
    <x v="0"/>
    <x v="0"/>
    <x v="5"/>
    <x v="2"/>
    <x v="0"/>
    <x v="0"/>
    <x v="0"/>
  </r>
  <r>
    <x v="139"/>
    <x v="118"/>
    <x v="116"/>
    <x v="1"/>
    <x v="39"/>
    <x v="1"/>
    <x v="1"/>
    <x v="16"/>
    <x v="0"/>
    <x v="30"/>
    <x v="16"/>
    <x v="6"/>
    <x v="13"/>
    <x v="1"/>
    <x v="139"/>
    <x v="139"/>
    <x v="3"/>
    <x v="3"/>
    <x v="139"/>
    <x v="138"/>
    <x v="139"/>
    <x v="0"/>
    <x v="2"/>
    <x v="3"/>
    <x v="2"/>
    <x v="3"/>
    <x v="6"/>
    <x v="3"/>
    <x v="0"/>
    <x v="0"/>
    <x v="0"/>
  </r>
  <r>
    <x v="140"/>
    <x v="119"/>
    <x v="117"/>
    <x v="2"/>
    <x v="5"/>
    <x v="1"/>
    <x v="0"/>
    <x v="19"/>
    <x v="0"/>
    <x v="54"/>
    <x v="25"/>
    <x v="6"/>
    <x v="19"/>
    <x v="0"/>
    <x v="140"/>
    <x v="140"/>
    <x v="0"/>
    <x v="85"/>
    <x v="140"/>
    <x v="139"/>
    <x v="140"/>
    <x v="4"/>
    <x v="2"/>
    <x v="0"/>
    <x v="0"/>
    <x v="0"/>
    <x v="1"/>
    <x v="4"/>
    <x v="1"/>
    <x v="2"/>
    <x v="1"/>
  </r>
  <r>
    <x v="141"/>
    <x v="120"/>
    <x v="118"/>
    <x v="1"/>
    <x v="34"/>
    <x v="1"/>
    <x v="2"/>
    <x v="6"/>
    <x v="8"/>
    <x v="55"/>
    <x v="94"/>
    <x v="2"/>
    <x v="3"/>
    <x v="4"/>
    <x v="141"/>
    <x v="141"/>
    <x v="3"/>
    <x v="3"/>
    <x v="141"/>
    <x v="140"/>
    <x v="141"/>
    <x v="1"/>
    <x v="1"/>
    <x v="0"/>
    <x v="2"/>
    <x v="3"/>
    <x v="6"/>
    <x v="3"/>
    <x v="1"/>
    <x v="1"/>
    <x v="1"/>
  </r>
  <r>
    <x v="142"/>
    <x v="121"/>
    <x v="119"/>
    <x v="0"/>
    <x v="9"/>
    <x v="1"/>
    <x v="2"/>
    <x v="2"/>
    <x v="0"/>
    <x v="11"/>
    <x v="23"/>
    <x v="7"/>
    <x v="18"/>
    <x v="3"/>
    <x v="142"/>
    <x v="142"/>
    <x v="4"/>
    <x v="86"/>
    <x v="142"/>
    <x v="141"/>
    <x v="142"/>
    <x v="0"/>
    <x v="2"/>
    <x v="3"/>
    <x v="0"/>
    <x v="1"/>
    <x v="5"/>
    <x v="3"/>
    <x v="0"/>
    <x v="0"/>
    <x v="0"/>
  </r>
  <r>
    <x v="143"/>
    <x v="122"/>
    <x v="120"/>
    <x v="1"/>
    <x v="9"/>
    <x v="0"/>
    <x v="3"/>
    <x v="12"/>
    <x v="0"/>
    <x v="42"/>
    <x v="95"/>
    <x v="4"/>
    <x v="36"/>
    <x v="1"/>
    <x v="143"/>
    <x v="143"/>
    <x v="3"/>
    <x v="3"/>
    <x v="143"/>
    <x v="142"/>
    <x v="143"/>
    <x v="0"/>
    <x v="0"/>
    <x v="5"/>
    <x v="0"/>
    <x v="1"/>
    <x v="5"/>
    <x v="2"/>
    <x v="0"/>
    <x v="0"/>
    <x v="1"/>
  </r>
  <r>
    <x v="144"/>
    <x v="123"/>
    <x v="121"/>
    <x v="2"/>
    <x v="27"/>
    <x v="0"/>
    <x v="2"/>
    <x v="6"/>
    <x v="9"/>
    <x v="14"/>
    <x v="96"/>
    <x v="6"/>
    <x v="14"/>
    <x v="1"/>
    <x v="144"/>
    <x v="144"/>
    <x v="3"/>
    <x v="3"/>
    <x v="144"/>
    <x v="143"/>
    <x v="144"/>
    <x v="0"/>
    <x v="2"/>
    <x v="4"/>
    <x v="1"/>
    <x v="2"/>
    <x v="4"/>
    <x v="2"/>
    <x v="0"/>
    <x v="0"/>
    <x v="0"/>
  </r>
  <r>
    <x v="145"/>
    <x v="123"/>
    <x v="122"/>
    <x v="3"/>
    <x v="21"/>
    <x v="0"/>
    <x v="0"/>
    <x v="20"/>
    <x v="0"/>
    <x v="56"/>
    <x v="15"/>
    <x v="0"/>
    <x v="7"/>
    <x v="0"/>
    <x v="145"/>
    <x v="145"/>
    <x v="3"/>
    <x v="3"/>
    <x v="145"/>
    <x v="144"/>
    <x v="145"/>
    <x v="0"/>
    <x v="2"/>
    <x v="5"/>
    <x v="0"/>
    <x v="1"/>
    <x v="1"/>
    <x v="0"/>
    <x v="0"/>
    <x v="0"/>
    <x v="4"/>
  </r>
  <r>
    <x v="146"/>
    <x v="123"/>
    <x v="25"/>
    <x v="3"/>
    <x v="23"/>
    <x v="1"/>
    <x v="3"/>
    <x v="4"/>
    <x v="0"/>
    <x v="4"/>
    <x v="59"/>
    <x v="5"/>
    <x v="29"/>
    <x v="4"/>
    <x v="146"/>
    <x v="146"/>
    <x v="4"/>
    <x v="87"/>
    <x v="146"/>
    <x v="145"/>
    <x v="146"/>
    <x v="3"/>
    <x v="1"/>
    <x v="3"/>
    <x v="0"/>
    <x v="0"/>
    <x v="1"/>
    <x v="1"/>
    <x v="1"/>
    <x v="6"/>
    <x v="1"/>
  </r>
  <r>
    <x v="147"/>
    <x v="124"/>
    <x v="107"/>
    <x v="3"/>
    <x v="42"/>
    <x v="1"/>
    <x v="0"/>
    <x v="20"/>
    <x v="0"/>
    <x v="39"/>
    <x v="19"/>
    <x v="6"/>
    <x v="15"/>
    <x v="1"/>
    <x v="147"/>
    <x v="147"/>
    <x v="0"/>
    <x v="88"/>
    <x v="147"/>
    <x v="146"/>
    <x v="147"/>
    <x v="0"/>
    <x v="2"/>
    <x v="2"/>
    <x v="2"/>
    <x v="3"/>
    <x v="6"/>
    <x v="3"/>
    <x v="0"/>
    <x v="0"/>
    <x v="0"/>
  </r>
  <r>
    <x v="148"/>
    <x v="124"/>
    <x v="123"/>
    <x v="3"/>
    <x v="16"/>
    <x v="1"/>
    <x v="2"/>
    <x v="9"/>
    <x v="0"/>
    <x v="32"/>
    <x v="97"/>
    <x v="2"/>
    <x v="5"/>
    <x v="0"/>
    <x v="148"/>
    <x v="148"/>
    <x v="3"/>
    <x v="3"/>
    <x v="148"/>
    <x v="147"/>
    <x v="148"/>
    <x v="2"/>
    <x v="0"/>
    <x v="0"/>
    <x v="0"/>
    <x v="0"/>
    <x v="1"/>
    <x v="7"/>
    <x v="0"/>
    <x v="0"/>
    <x v="0"/>
  </r>
  <r>
    <x v="149"/>
    <x v="125"/>
    <x v="30"/>
    <x v="2"/>
    <x v="0"/>
    <x v="0"/>
    <x v="4"/>
    <x v="8"/>
    <x v="0"/>
    <x v="9"/>
    <x v="98"/>
    <x v="3"/>
    <x v="26"/>
    <x v="0"/>
    <x v="149"/>
    <x v="149"/>
    <x v="3"/>
    <x v="3"/>
    <x v="149"/>
    <x v="148"/>
    <x v="149"/>
    <x v="0"/>
    <x v="1"/>
    <x v="5"/>
    <x v="2"/>
    <x v="3"/>
    <x v="6"/>
    <x v="0"/>
    <x v="0"/>
    <x v="0"/>
    <x v="0"/>
  </r>
  <r>
    <x v="150"/>
    <x v="126"/>
    <x v="124"/>
    <x v="2"/>
    <x v="24"/>
    <x v="1"/>
    <x v="1"/>
    <x v="18"/>
    <x v="0"/>
    <x v="38"/>
    <x v="75"/>
    <x v="2"/>
    <x v="33"/>
    <x v="1"/>
    <x v="150"/>
    <x v="150"/>
    <x v="0"/>
    <x v="89"/>
    <x v="150"/>
    <x v="149"/>
    <x v="150"/>
    <x v="0"/>
    <x v="1"/>
    <x v="0"/>
    <x v="0"/>
    <x v="0"/>
    <x v="2"/>
    <x v="1"/>
    <x v="0"/>
    <x v="0"/>
    <x v="0"/>
  </r>
  <r>
    <x v="151"/>
    <x v="126"/>
    <x v="125"/>
    <x v="3"/>
    <x v="8"/>
    <x v="2"/>
    <x v="2"/>
    <x v="2"/>
    <x v="0"/>
    <x v="18"/>
    <x v="99"/>
    <x v="5"/>
    <x v="21"/>
    <x v="1"/>
    <x v="151"/>
    <x v="151"/>
    <x v="3"/>
    <x v="3"/>
    <x v="151"/>
    <x v="150"/>
    <x v="151"/>
    <x v="0"/>
    <x v="1"/>
    <x v="4"/>
    <x v="0"/>
    <x v="0"/>
    <x v="1"/>
    <x v="4"/>
    <x v="0"/>
    <x v="0"/>
    <x v="1"/>
  </r>
  <r>
    <x v="152"/>
    <x v="127"/>
    <x v="126"/>
    <x v="2"/>
    <x v="9"/>
    <x v="0"/>
    <x v="1"/>
    <x v="18"/>
    <x v="0"/>
    <x v="38"/>
    <x v="39"/>
    <x v="4"/>
    <x v="23"/>
    <x v="0"/>
    <x v="152"/>
    <x v="152"/>
    <x v="2"/>
    <x v="90"/>
    <x v="152"/>
    <x v="151"/>
    <x v="152"/>
    <x v="2"/>
    <x v="1"/>
    <x v="5"/>
    <x v="2"/>
    <x v="3"/>
    <x v="6"/>
    <x v="2"/>
    <x v="0"/>
    <x v="0"/>
    <x v="0"/>
  </r>
  <r>
    <x v="153"/>
    <x v="128"/>
    <x v="127"/>
    <x v="1"/>
    <x v="42"/>
    <x v="1"/>
    <x v="2"/>
    <x v="6"/>
    <x v="3"/>
    <x v="7"/>
    <x v="70"/>
    <x v="1"/>
    <x v="32"/>
    <x v="1"/>
    <x v="153"/>
    <x v="153"/>
    <x v="2"/>
    <x v="91"/>
    <x v="153"/>
    <x v="152"/>
    <x v="153"/>
    <x v="0"/>
    <x v="0"/>
    <x v="6"/>
    <x v="1"/>
    <x v="2"/>
    <x v="4"/>
    <x v="0"/>
    <x v="0"/>
    <x v="0"/>
    <x v="2"/>
  </r>
  <r>
    <x v="154"/>
    <x v="128"/>
    <x v="128"/>
    <x v="2"/>
    <x v="42"/>
    <x v="0"/>
    <x v="2"/>
    <x v="9"/>
    <x v="0"/>
    <x v="10"/>
    <x v="100"/>
    <x v="6"/>
    <x v="19"/>
    <x v="1"/>
    <x v="154"/>
    <x v="154"/>
    <x v="3"/>
    <x v="3"/>
    <x v="154"/>
    <x v="153"/>
    <x v="154"/>
    <x v="0"/>
    <x v="1"/>
    <x v="6"/>
    <x v="2"/>
    <x v="3"/>
    <x v="6"/>
    <x v="1"/>
    <x v="0"/>
    <x v="0"/>
    <x v="1"/>
  </r>
  <r>
    <x v="155"/>
    <x v="129"/>
    <x v="129"/>
    <x v="2"/>
    <x v="18"/>
    <x v="0"/>
    <x v="1"/>
    <x v="16"/>
    <x v="0"/>
    <x v="30"/>
    <x v="101"/>
    <x v="2"/>
    <x v="17"/>
    <x v="1"/>
    <x v="155"/>
    <x v="155"/>
    <x v="1"/>
    <x v="92"/>
    <x v="155"/>
    <x v="154"/>
    <x v="155"/>
    <x v="0"/>
    <x v="0"/>
    <x v="1"/>
    <x v="0"/>
    <x v="1"/>
    <x v="0"/>
    <x v="3"/>
    <x v="0"/>
    <x v="0"/>
    <x v="1"/>
  </r>
  <r>
    <x v="156"/>
    <x v="130"/>
    <x v="119"/>
    <x v="3"/>
    <x v="9"/>
    <x v="1"/>
    <x v="2"/>
    <x v="2"/>
    <x v="0"/>
    <x v="11"/>
    <x v="102"/>
    <x v="6"/>
    <x v="14"/>
    <x v="1"/>
    <x v="156"/>
    <x v="156"/>
    <x v="3"/>
    <x v="3"/>
    <x v="156"/>
    <x v="155"/>
    <x v="156"/>
    <x v="0"/>
    <x v="1"/>
    <x v="0"/>
    <x v="2"/>
    <x v="3"/>
    <x v="6"/>
    <x v="0"/>
    <x v="0"/>
    <x v="0"/>
    <x v="1"/>
  </r>
  <r>
    <x v="157"/>
    <x v="131"/>
    <x v="130"/>
    <x v="1"/>
    <x v="11"/>
    <x v="0"/>
    <x v="0"/>
    <x v="0"/>
    <x v="0"/>
    <x v="57"/>
    <x v="103"/>
    <x v="6"/>
    <x v="19"/>
    <x v="4"/>
    <x v="157"/>
    <x v="157"/>
    <x v="0"/>
    <x v="93"/>
    <x v="157"/>
    <x v="156"/>
    <x v="157"/>
    <x v="1"/>
    <x v="1"/>
    <x v="5"/>
    <x v="2"/>
    <x v="3"/>
    <x v="6"/>
    <x v="4"/>
    <x v="0"/>
    <x v="0"/>
    <x v="0"/>
  </r>
  <r>
    <x v="158"/>
    <x v="132"/>
    <x v="123"/>
    <x v="0"/>
    <x v="16"/>
    <x v="1"/>
    <x v="2"/>
    <x v="9"/>
    <x v="0"/>
    <x v="32"/>
    <x v="104"/>
    <x v="4"/>
    <x v="9"/>
    <x v="1"/>
    <x v="158"/>
    <x v="158"/>
    <x v="0"/>
    <x v="94"/>
    <x v="158"/>
    <x v="157"/>
    <x v="158"/>
    <x v="3"/>
    <x v="1"/>
    <x v="0"/>
    <x v="0"/>
    <x v="0"/>
    <x v="1"/>
    <x v="3"/>
    <x v="0"/>
    <x v="0"/>
    <x v="2"/>
  </r>
  <r>
    <x v="159"/>
    <x v="133"/>
    <x v="131"/>
    <x v="3"/>
    <x v="7"/>
    <x v="0"/>
    <x v="0"/>
    <x v="15"/>
    <x v="0"/>
    <x v="29"/>
    <x v="105"/>
    <x v="7"/>
    <x v="18"/>
    <x v="1"/>
    <x v="159"/>
    <x v="159"/>
    <x v="2"/>
    <x v="95"/>
    <x v="159"/>
    <x v="158"/>
    <x v="159"/>
    <x v="1"/>
    <x v="1"/>
    <x v="0"/>
    <x v="0"/>
    <x v="1"/>
    <x v="5"/>
    <x v="3"/>
    <x v="0"/>
    <x v="0"/>
    <x v="0"/>
  </r>
  <r>
    <x v="160"/>
    <x v="134"/>
    <x v="82"/>
    <x v="2"/>
    <x v="25"/>
    <x v="0"/>
    <x v="0"/>
    <x v="0"/>
    <x v="0"/>
    <x v="0"/>
    <x v="106"/>
    <x v="0"/>
    <x v="6"/>
    <x v="1"/>
    <x v="160"/>
    <x v="160"/>
    <x v="0"/>
    <x v="96"/>
    <x v="160"/>
    <x v="159"/>
    <x v="160"/>
    <x v="1"/>
    <x v="1"/>
    <x v="0"/>
    <x v="0"/>
    <x v="0"/>
    <x v="0"/>
    <x v="5"/>
    <x v="0"/>
    <x v="0"/>
    <x v="0"/>
  </r>
  <r>
    <x v="161"/>
    <x v="135"/>
    <x v="2"/>
    <x v="2"/>
    <x v="2"/>
    <x v="0"/>
    <x v="2"/>
    <x v="2"/>
    <x v="0"/>
    <x v="2"/>
    <x v="53"/>
    <x v="6"/>
    <x v="13"/>
    <x v="0"/>
    <x v="161"/>
    <x v="161"/>
    <x v="2"/>
    <x v="97"/>
    <x v="161"/>
    <x v="160"/>
    <x v="161"/>
    <x v="1"/>
    <x v="1"/>
    <x v="5"/>
    <x v="0"/>
    <x v="0"/>
    <x v="0"/>
    <x v="6"/>
    <x v="0"/>
    <x v="0"/>
    <x v="0"/>
  </r>
  <r>
    <x v="162"/>
    <x v="135"/>
    <x v="132"/>
    <x v="2"/>
    <x v="29"/>
    <x v="1"/>
    <x v="2"/>
    <x v="2"/>
    <x v="0"/>
    <x v="2"/>
    <x v="107"/>
    <x v="6"/>
    <x v="24"/>
    <x v="0"/>
    <x v="162"/>
    <x v="162"/>
    <x v="1"/>
    <x v="98"/>
    <x v="162"/>
    <x v="161"/>
    <x v="162"/>
    <x v="0"/>
    <x v="1"/>
    <x v="0"/>
    <x v="0"/>
    <x v="0"/>
    <x v="5"/>
    <x v="0"/>
    <x v="0"/>
    <x v="0"/>
    <x v="2"/>
  </r>
  <r>
    <x v="163"/>
    <x v="136"/>
    <x v="89"/>
    <x v="2"/>
    <x v="22"/>
    <x v="0"/>
    <x v="2"/>
    <x v="2"/>
    <x v="0"/>
    <x v="2"/>
    <x v="108"/>
    <x v="1"/>
    <x v="38"/>
    <x v="1"/>
    <x v="163"/>
    <x v="163"/>
    <x v="3"/>
    <x v="3"/>
    <x v="163"/>
    <x v="162"/>
    <x v="163"/>
    <x v="1"/>
    <x v="1"/>
    <x v="1"/>
    <x v="0"/>
    <x v="1"/>
    <x v="1"/>
    <x v="4"/>
    <x v="0"/>
    <x v="0"/>
    <x v="0"/>
  </r>
  <r>
    <x v="164"/>
    <x v="137"/>
    <x v="133"/>
    <x v="2"/>
    <x v="22"/>
    <x v="0"/>
    <x v="1"/>
    <x v="16"/>
    <x v="0"/>
    <x v="30"/>
    <x v="107"/>
    <x v="6"/>
    <x v="24"/>
    <x v="1"/>
    <x v="164"/>
    <x v="164"/>
    <x v="0"/>
    <x v="99"/>
    <x v="164"/>
    <x v="163"/>
    <x v="164"/>
    <x v="3"/>
    <x v="1"/>
    <x v="1"/>
    <x v="1"/>
    <x v="2"/>
    <x v="3"/>
    <x v="0"/>
    <x v="0"/>
    <x v="0"/>
    <x v="1"/>
  </r>
  <r>
    <x v="165"/>
    <x v="137"/>
    <x v="134"/>
    <x v="1"/>
    <x v="12"/>
    <x v="1"/>
    <x v="2"/>
    <x v="6"/>
    <x v="2"/>
    <x v="31"/>
    <x v="66"/>
    <x v="2"/>
    <x v="2"/>
    <x v="1"/>
    <x v="165"/>
    <x v="165"/>
    <x v="5"/>
    <x v="100"/>
    <x v="165"/>
    <x v="164"/>
    <x v="165"/>
    <x v="1"/>
    <x v="1"/>
    <x v="0"/>
    <x v="2"/>
    <x v="3"/>
    <x v="6"/>
    <x v="2"/>
    <x v="0"/>
    <x v="0"/>
    <x v="0"/>
  </r>
  <r>
    <x v="166"/>
    <x v="138"/>
    <x v="135"/>
    <x v="1"/>
    <x v="16"/>
    <x v="1"/>
    <x v="0"/>
    <x v="19"/>
    <x v="0"/>
    <x v="58"/>
    <x v="109"/>
    <x v="7"/>
    <x v="39"/>
    <x v="1"/>
    <x v="166"/>
    <x v="166"/>
    <x v="3"/>
    <x v="3"/>
    <x v="166"/>
    <x v="165"/>
    <x v="166"/>
    <x v="0"/>
    <x v="2"/>
    <x v="0"/>
    <x v="1"/>
    <x v="2"/>
    <x v="3"/>
    <x v="0"/>
    <x v="0"/>
    <x v="0"/>
    <x v="0"/>
  </r>
  <r>
    <x v="167"/>
    <x v="138"/>
    <x v="48"/>
    <x v="2"/>
    <x v="17"/>
    <x v="0"/>
    <x v="0"/>
    <x v="15"/>
    <x v="0"/>
    <x v="29"/>
    <x v="110"/>
    <x v="2"/>
    <x v="25"/>
    <x v="1"/>
    <x v="167"/>
    <x v="167"/>
    <x v="4"/>
    <x v="101"/>
    <x v="167"/>
    <x v="166"/>
    <x v="167"/>
    <x v="2"/>
    <x v="2"/>
    <x v="0"/>
    <x v="1"/>
    <x v="2"/>
    <x v="4"/>
    <x v="2"/>
    <x v="1"/>
    <x v="1"/>
    <x v="1"/>
  </r>
  <r>
    <x v="168"/>
    <x v="139"/>
    <x v="33"/>
    <x v="2"/>
    <x v="25"/>
    <x v="1"/>
    <x v="0"/>
    <x v="0"/>
    <x v="0"/>
    <x v="24"/>
    <x v="9"/>
    <x v="4"/>
    <x v="8"/>
    <x v="1"/>
    <x v="168"/>
    <x v="168"/>
    <x v="3"/>
    <x v="3"/>
    <x v="168"/>
    <x v="167"/>
    <x v="168"/>
    <x v="0"/>
    <x v="0"/>
    <x v="0"/>
    <x v="1"/>
    <x v="2"/>
    <x v="3"/>
    <x v="4"/>
    <x v="0"/>
    <x v="0"/>
    <x v="1"/>
  </r>
  <r>
    <x v="169"/>
    <x v="140"/>
    <x v="30"/>
    <x v="2"/>
    <x v="0"/>
    <x v="0"/>
    <x v="4"/>
    <x v="8"/>
    <x v="0"/>
    <x v="9"/>
    <x v="37"/>
    <x v="6"/>
    <x v="15"/>
    <x v="0"/>
    <x v="169"/>
    <x v="169"/>
    <x v="3"/>
    <x v="3"/>
    <x v="169"/>
    <x v="168"/>
    <x v="169"/>
    <x v="0"/>
    <x v="1"/>
    <x v="5"/>
    <x v="3"/>
    <x v="5"/>
    <x v="7"/>
    <x v="6"/>
    <x v="0"/>
    <x v="0"/>
    <x v="1"/>
  </r>
  <r>
    <x v="170"/>
    <x v="141"/>
    <x v="12"/>
    <x v="3"/>
    <x v="10"/>
    <x v="1"/>
    <x v="3"/>
    <x v="10"/>
    <x v="0"/>
    <x v="12"/>
    <x v="111"/>
    <x v="3"/>
    <x v="40"/>
    <x v="1"/>
    <x v="170"/>
    <x v="170"/>
    <x v="3"/>
    <x v="3"/>
    <x v="170"/>
    <x v="169"/>
    <x v="170"/>
    <x v="0"/>
    <x v="1"/>
    <x v="5"/>
    <x v="1"/>
    <x v="2"/>
    <x v="4"/>
    <x v="0"/>
    <x v="0"/>
    <x v="0"/>
    <x v="0"/>
  </r>
  <r>
    <x v="171"/>
    <x v="142"/>
    <x v="136"/>
    <x v="3"/>
    <x v="34"/>
    <x v="1"/>
    <x v="1"/>
    <x v="16"/>
    <x v="0"/>
    <x v="30"/>
    <x v="105"/>
    <x v="7"/>
    <x v="18"/>
    <x v="1"/>
    <x v="171"/>
    <x v="171"/>
    <x v="2"/>
    <x v="102"/>
    <x v="171"/>
    <x v="170"/>
    <x v="171"/>
    <x v="3"/>
    <x v="2"/>
    <x v="0"/>
    <x v="0"/>
    <x v="1"/>
    <x v="1"/>
    <x v="3"/>
    <x v="0"/>
    <x v="0"/>
    <x v="0"/>
  </r>
  <r>
    <x v="172"/>
    <x v="143"/>
    <x v="137"/>
    <x v="0"/>
    <x v="5"/>
    <x v="1"/>
    <x v="0"/>
    <x v="13"/>
    <x v="0"/>
    <x v="28"/>
    <x v="69"/>
    <x v="5"/>
    <x v="12"/>
    <x v="1"/>
    <x v="172"/>
    <x v="172"/>
    <x v="3"/>
    <x v="3"/>
    <x v="172"/>
    <x v="171"/>
    <x v="172"/>
    <x v="0"/>
    <x v="1"/>
    <x v="0"/>
    <x v="0"/>
    <x v="0"/>
    <x v="0"/>
    <x v="3"/>
    <x v="0"/>
    <x v="0"/>
    <x v="1"/>
  </r>
  <r>
    <x v="173"/>
    <x v="144"/>
    <x v="138"/>
    <x v="2"/>
    <x v="19"/>
    <x v="2"/>
    <x v="1"/>
    <x v="3"/>
    <x v="0"/>
    <x v="3"/>
    <x v="2"/>
    <x v="2"/>
    <x v="2"/>
    <x v="2"/>
    <x v="173"/>
    <x v="173"/>
    <x v="2"/>
    <x v="103"/>
    <x v="173"/>
    <x v="172"/>
    <x v="173"/>
    <x v="1"/>
    <x v="1"/>
    <x v="3"/>
    <x v="2"/>
    <x v="3"/>
    <x v="6"/>
    <x v="3"/>
    <x v="0"/>
    <x v="0"/>
    <x v="0"/>
  </r>
  <r>
    <x v="174"/>
    <x v="145"/>
    <x v="139"/>
    <x v="3"/>
    <x v="4"/>
    <x v="0"/>
    <x v="2"/>
    <x v="2"/>
    <x v="0"/>
    <x v="2"/>
    <x v="64"/>
    <x v="3"/>
    <x v="26"/>
    <x v="0"/>
    <x v="174"/>
    <x v="174"/>
    <x v="5"/>
    <x v="104"/>
    <x v="174"/>
    <x v="173"/>
    <x v="174"/>
    <x v="0"/>
    <x v="2"/>
    <x v="3"/>
    <x v="2"/>
    <x v="3"/>
    <x v="6"/>
    <x v="0"/>
    <x v="0"/>
    <x v="0"/>
    <x v="1"/>
  </r>
  <r>
    <x v="175"/>
    <x v="146"/>
    <x v="130"/>
    <x v="3"/>
    <x v="11"/>
    <x v="0"/>
    <x v="0"/>
    <x v="0"/>
    <x v="0"/>
    <x v="57"/>
    <x v="112"/>
    <x v="1"/>
    <x v="1"/>
    <x v="1"/>
    <x v="175"/>
    <x v="175"/>
    <x v="3"/>
    <x v="3"/>
    <x v="175"/>
    <x v="174"/>
    <x v="175"/>
    <x v="1"/>
    <x v="1"/>
    <x v="6"/>
    <x v="0"/>
    <x v="1"/>
    <x v="2"/>
    <x v="2"/>
    <x v="0"/>
    <x v="0"/>
    <x v="1"/>
  </r>
  <r>
    <x v="176"/>
    <x v="147"/>
    <x v="40"/>
    <x v="3"/>
    <x v="1"/>
    <x v="1"/>
    <x v="0"/>
    <x v="14"/>
    <x v="0"/>
    <x v="26"/>
    <x v="45"/>
    <x v="3"/>
    <x v="28"/>
    <x v="1"/>
    <x v="176"/>
    <x v="176"/>
    <x v="3"/>
    <x v="3"/>
    <x v="176"/>
    <x v="175"/>
    <x v="176"/>
    <x v="0"/>
    <x v="1"/>
    <x v="3"/>
    <x v="1"/>
    <x v="2"/>
    <x v="4"/>
    <x v="3"/>
    <x v="0"/>
    <x v="0"/>
    <x v="1"/>
  </r>
  <r>
    <x v="177"/>
    <x v="148"/>
    <x v="126"/>
    <x v="2"/>
    <x v="9"/>
    <x v="0"/>
    <x v="1"/>
    <x v="18"/>
    <x v="0"/>
    <x v="38"/>
    <x v="113"/>
    <x v="7"/>
    <x v="16"/>
    <x v="0"/>
    <x v="177"/>
    <x v="177"/>
    <x v="2"/>
    <x v="105"/>
    <x v="177"/>
    <x v="176"/>
    <x v="177"/>
    <x v="3"/>
    <x v="1"/>
    <x v="1"/>
    <x v="0"/>
    <x v="1"/>
    <x v="1"/>
    <x v="5"/>
    <x v="0"/>
    <x v="0"/>
    <x v="0"/>
  </r>
  <r>
    <x v="178"/>
    <x v="149"/>
    <x v="140"/>
    <x v="3"/>
    <x v="43"/>
    <x v="1"/>
    <x v="2"/>
    <x v="6"/>
    <x v="9"/>
    <x v="7"/>
    <x v="114"/>
    <x v="4"/>
    <x v="23"/>
    <x v="1"/>
    <x v="178"/>
    <x v="178"/>
    <x v="4"/>
    <x v="106"/>
    <x v="178"/>
    <x v="177"/>
    <x v="178"/>
    <x v="0"/>
    <x v="2"/>
    <x v="0"/>
    <x v="0"/>
    <x v="1"/>
    <x v="5"/>
    <x v="6"/>
    <x v="0"/>
    <x v="0"/>
    <x v="0"/>
  </r>
  <r>
    <x v="179"/>
    <x v="150"/>
    <x v="141"/>
    <x v="3"/>
    <x v="4"/>
    <x v="0"/>
    <x v="2"/>
    <x v="2"/>
    <x v="0"/>
    <x v="18"/>
    <x v="40"/>
    <x v="6"/>
    <x v="24"/>
    <x v="1"/>
    <x v="179"/>
    <x v="179"/>
    <x v="0"/>
    <x v="107"/>
    <x v="179"/>
    <x v="178"/>
    <x v="179"/>
    <x v="0"/>
    <x v="0"/>
    <x v="0"/>
    <x v="0"/>
    <x v="1"/>
    <x v="1"/>
    <x v="7"/>
    <x v="0"/>
    <x v="0"/>
    <x v="0"/>
  </r>
  <r>
    <x v="180"/>
    <x v="151"/>
    <x v="95"/>
    <x v="2"/>
    <x v="28"/>
    <x v="1"/>
    <x v="0"/>
    <x v="15"/>
    <x v="0"/>
    <x v="46"/>
    <x v="115"/>
    <x v="7"/>
    <x v="18"/>
    <x v="3"/>
    <x v="180"/>
    <x v="180"/>
    <x v="2"/>
    <x v="108"/>
    <x v="180"/>
    <x v="179"/>
    <x v="180"/>
    <x v="0"/>
    <x v="1"/>
    <x v="0"/>
    <x v="2"/>
    <x v="3"/>
    <x v="6"/>
    <x v="5"/>
    <x v="0"/>
    <x v="0"/>
    <x v="1"/>
  </r>
  <r>
    <x v="181"/>
    <x v="152"/>
    <x v="142"/>
    <x v="3"/>
    <x v="44"/>
    <x v="1"/>
    <x v="2"/>
    <x v="6"/>
    <x v="8"/>
    <x v="59"/>
    <x v="73"/>
    <x v="0"/>
    <x v="31"/>
    <x v="0"/>
    <x v="181"/>
    <x v="181"/>
    <x v="4"/>
    <x v="109"/>
    <x v="181"/>
    <x v="180"/>
    <x v="181"/>
    <x v="3"/>
    <x v="2"/>
    <x v="0"/>
    <x v="3"/>
    <x v="0"/>
    <x v="7"/>
    <x v="7"/>
    <x v="0"/>
    <x v="0"/>
    <x v="2"/>
  </r>
  <r>
    <x v="182"/>
    <x v="153"/>
    <x v="25"/>
    <x v="1"/>
    <x v="23"/>
    <x v="1"/>
    <x v="3"/>
    <x v="4"/>
    <x v="0"/>
    <x v="4"/>
    <x v="60"/>
    <x v="2"/>
    <x v="2"/>
    <x v="1"/>
    <x v="182"/>
    <x v="182"/>
    <x v="6"/>
    <x v="110"/>
    <x v="182"/>
    <x v="181"/>
    <x v="182"/>
    <x v="2"/>
    <x v="1"/>
    <x v="5"/>
    <x v="1"/>
    <x v="2"/>
    <x v="4"/>
    <x v="3"/>
    <x v="0"/>
    <x v="0"/>
    <x v="0"/>
  </r>
  <r>
    <x v="183"/>
    <x v="154"/>
    <x v="16"/>
    <x v="3"/>
    <x v="15"/>
    <x v="0"/>
    <x v="1"/>
    <x v="11"/>
    <x v="0"/>
    <x v="16"/>
    <x v="11"/>
    <x v="4"/>
    <x v="9"/>
    <x v="1"/>
    <x v="183"/>
    <x v="177"/>
    <x v="3"/>
    <x v="3"/>
    <x v="183"/>
    <x v="182"/>
    <x v="183"/>
    <x v="2"/>
    <x v="1"/>
    <x v="0"/>
    <x v="1"/>
    <x v="2"/>
    <x v="4"/>
    <x v="6"/>
    <x v="0"/>
    <x v="0"/>
    <x v="1"/>
  </r>
  <r>
    <x v="184"/>
    <x v="155"/>
    <x v="143"/>
    <x v="1"/>
    <x v="8"/>
    <x v="1"/>
    <x v="0"/>
    <x v="20"/>
    <x v="0"/>
    <x v="56"/>
    <x v="51"/>
    <x v="0"/>
    <x v="7"/>
    <x v="1"/>
    <x v="184"/>
    <x v="183"/>
    <x v="3"/>
    <x v="3"/>
    <x v="184"/>
    <x v="183"/>
    <x v="184"/>
    <x v="0"/>
    <x v="2"/>
    <x v="0"/>
    <x v="0"/>
    <x v="0"/>
    <x v="0"/>
    <x v="0"/>
    <x v="0"/>
    <x v="0"/>
    <x v="0"/>
  </r>
  <r>
    <x v="185"/>
    <x v="156"/>
    <x v="144"/>
    <x v="0"/>
    <x v="21"/>
    <x v="0"/>
    <x v="0"/>
    <x v="14"/>
    <x v="0"/>
    <x v="60"/>
    <x v="116"/>
    <x v="0"/>
    <x v="30"/>
    <x v="3"/>
    <x v="185"/>
    <x v="184"/>
    <x v="3"/>
    <x v="3"/>
    <x v="185"/>
    <x v="184"/>
    <x v="185"/>
    <x v="2"/>
    <x v="2"/>
    <x v="0"/>
    <x v="0"/>
    <x v="0"/>
    <x v="1"/>
    <x v="3"/>
    <x v="1"/>
    <x v="1"/>
    <x v="1"/>
  </r>
  <r>
    <x v="186"/>
    <x v="157"/>
    <x v="145"/>
    <x v="2"/>
    <x v="26"/>
    <x v="0"/>
    <x v="1"/>
    <x v="18"/>
    <x v="0"/>
    <x v="38"/>
    <x v="55"/>
    <x v="2"/>
    <x v="17"/>
    <x v="2"/>
    <x v="186"/>
    <x v="185"/>
    <x v="2"/>
    <x v="111"/>
    <x v="186"/>
    <x v="185"/>
    <x v="186"/>
    <x v="0"/>
    <x v="1"/>
    <x v="3"/>
    <x v="0"/>
    <x v="0"/>
    <x v="1"/>
    <x v="2"/>
    <x v="0"/>
    <x v="0"/>
    <x v="2"/>
  </r>
  <r>
    <x v="187"/>
    <x v="158"/>
    <x v="9"/>
    <x v="3"/>
    <x v="9"/>
    <x v="1"/>
    <x v="4"/>
    <x v="8"/>
    <x v="0"/>
    <x v="9"/>
    <x v="0"/>
    <x v="0"/>
    <x v="0"/>
    <x v="1"/>
    <x v="187"/>
    <x v="186"/>
    <x v="4"/>
    <x v="112"/>
    <x v="187"/>
    <x v="186"/>
    <x v="187"/>
    <x v="1"/>
    <x v="1"/>
    <x v="5"/>
    <x v="0"/>
    <x v="0"/>
    <x v="0"/>
    <x v="1"/>
    <x v="0"/>
    <x v="0"/>
    <x v="2"/>
  </r>
  <r>
    <x v="188"/>
    <x v="159"/>
    <x v="79"/>
    <x v="2"/>
    <x v="34"/>
    <x v="1"/>
    <x v="0"/>
    <x v="13"/>
    <x v="0"/>
    <x v="40"/>
    <x v="26"/>
    <x v="0"/>
    <x v="10"/>
    <x v="1"/>
    <x v="188"/>
    <x v="187"/>
    <x v="2"/>
    <x v="113"/>
    <x v="188"/>
    <x v="187"/>
    <x v="188"/>
    <x v="2"/>
    <x v="2"/>
    <x v="0"/>
    <x v="0"/>
    <x v="0"/>
    <x v="2"/>
    <x v="3"/>
    <x v="0"/>
    <x v="0"/>
    <x v="1"/>
  </r>
  <r>
    <x v="189"/>
    <x v="160"/>
    <x v="146"/>
    <x v="2"/>
    <x v="36"/>
    <x v="1"/>
    <x v="0"/>
    <x v="0"/>
    <x v="0"/>
    <x v="57"/>
    <x v="117"/>
    <x v="1"/>
    <x v="32"/>
    <x v="2"/>
    <x v="189"/>
    <x v="188"/>
    <x v="6"/>
    <x v="114"/>
    <x v="189"/>
    <x v="188"/>
    <x v="189"/>
    <x v="4"/>
    <x v="2"/>
    <x v="0"/>
    <x v="0"/>
    <x v="1"/>
    <x v="1"/>
    <x v="0"/>
    <x v="0"/>
    <x v="0"/>
    <x v="1"/>
  </r>
  <r>
    <x v="190"/>
    <x v="161"/>
    <x v="73"/>
    <x v="1"/>
    <x v="1"/>
    <x v="1"/>
    <x v="1"/>
    <x v="3"/>
    <x v="0"/>
    <x v="3"/>
    <x v="3"/>
    <x v="2"/>
    <x v="3"/>
    <x v="1"/>
    <x v="190"/>
    <x v="189"/>
    <x v="0"/>
    <x v="115"/>
    <x v="190"/>
    <x v="189"/>
    <x v="190"/>
    <x v="0"/>
    <x v="1"/>
    <x v="0"/>
    <x v="2"/>
    <x v="3"/>
    <x v="6"/>
    <x v="2"/>
    <x v="0"/>
    <x v="0"/>
    <x v="0"/>
  </r>
  <r>
    <x v="191"/>
    <x v="162"/>
    <x v="147"/>
    <x v="0"/>
    <x v="12"/>
    <x v="1"/>
    <x v="0"/>
    <x v="15"/>
    <x v="0"/>
    <x v="46"/>
    <x v="50"/>
    <x v="7"/>
    <x v="16"/>
    <x v="0"/>
    <x v="191"/>
    <x v="190"/>
    <x v="6"/>
    <x v="116"/>
    <x v="191"/>
    <x v="190"/>
    <x v="191"/>
    <x v="0"/>
    <x v="1"/>
    <x v="6"/>
    <x v="1"/>
    <x v="2"/>
    <x v="3"/>
    <x v="0"/>
    <x v="1"/>
    <x v="1"/>
    <x v="1"/>
  </r>
  <r>
    <x v="192"/>
    <x v="163"/>
    <x v="148"/>
    <x v="3"/>
    <x v="9"/>
    <x v="0"/>
    <x v="3"/>
    <x v="4"/>
    <x v="0"/>
    <x v="33"/>
    <x v="11"/>
    <x v="4"/>
    <x v="9"/>
    <x v="1"/>
    <x v="192"/>
    <x v="191"/>
    <x v="3"/>
    <x v="3"/>
    <x v="192"/>
    <x v="191"/>
    <x v="192"/>
    <x v="0"/>
    <x v="1"/>
    <x v="0"/>
    <x v="1"/>
    <x v="2"/>
    <x v="4"/>
    <x v="4"/>
    <x v="0"/>
    <x v="0"/>
    <x v="2"/>
  </r>
  <r>
    <x v="193"/>
    <x v="164"/>
    <x v="149"/>
    <x v="2"/>
    <x v="34"/>
    <x v="0"/>
    <x v="2"/>
    <x v="6"/>
    <x v="10"/>
    <x v="59"/>
    <x v="102"/>
    <x v="6"/>
    <x v="14"/>
    <x v="1"/>
    <x v="193"/>
    <x v="192"/>
    <x v="3"/>
    <x v="3"/>
    <x v="193"/>
    <x v="192"/>
    <x v="193"/>
    <x v="0"/>
    <x v="1"/>
    <x v="3"/>
    <x v="1"/>
    <x v="2"/>
    <x v="4"/>
    <x v="0"/>
    <x v="0"/>
    <x v="0"/>
    <x v="1"/>
  </r>
  <r>
    <x v="194"/>
    <x v="165"/>
    <x v="150"/>
    <x v="3"/>
    <x v="36"/>
    <x v="0"/>
    <x v="2"/>
    <x v="9"/>
    <x v="0"/>
    <x v="22"/>
    <x v="117"/>
    <x v="1"/>
    <x v="32"/>
    <x v="1"/>
    <x v="194"/>
    <x v="193"/>
    <x v="3"/>
    <x v="3"/>
    <x v="194"/>
    <x v="193"/>
    <x v="194"/>
    <x v="1"/>
    <x v="1"/>
    <x v="5"/>
    <x v="1"/>
    <x v="2"/>
    <x v="4"/>
    <x v="2"/>
    <x v="0"/>
    <x v="0"/>
    <x v="0"/>
  </r>
  <r>
    <x v="195"/>
    <x v="166"/>
    <x v="125"/>
    <x v="3"/>
    <x v="8"/>
    <x v="2"/>
    <x v="2"/>
    <x v="2"/>
    <x v="0"/>
    <x v="18"/>
    <x v="118"/>
    <x v="2"/>
    <x v="17"/>
    <x v="1"/>
    <x v="195"/>
    <x v="194"/>
    <x v="0"/>
    <x v="117"/>
    <x v="195"/>
    <x v="194"/>
    <x v="195"/>
    <x v="0"/>
    <x v="2"/>
    <x v="0"/>
    <x v="0"/>
    <x v="0"/>
    <x v="1"/>
    <x v="1"/>
    <x v="0"/>
    <x v="0"/>
    <x v="1"/>
  </r>
  <r>
    <x v="196"/>
    <x v="167"/>
    <x v="67"/>
    <x v="3"/>
    <x v="36"/>
    <x v="0"/>
    <x v="2"/>
    <x v="2"/>
    <x v="0"/>
    <x v="2"/>
    <x v="68"/>
    <x v="2"/>
    <x v="33"/>
    <x v="2"/>
    <x v="196"/>
    <x v="195"/>
    <x v="2"/>
    <x v="118"/>
    <x v="196"/>
    <x v="195"/>
    <x v="196"/>
    <x v="4"/>
    <x v="2"/>
    <x v="3"/>
    <x v="2"/>
    <x v="3"/>
    <x v="6"/>
    <x v="2"/>
    <x v="0"/>
    <x v="0"/>
    <x v="0"/>
  </r>
  <r>
    <x v="197"/>
    <x v="168"/>
    <x v="149"/>
    <x v="3"/>
    <x v="34"/>
    <x v="0"/>
    <x v="2"/>
    <x v="6"/>
    <x v="10"/>
    <x v="59"/>
    <x v="119"/>
    <x v="6"/>
    <x v="14"/>
    <x v="1"/>
    <x v="197"/>
    <x v="196"/>
    <x v="1"/>
    <x v="119"/>
    <x v="197"/>
    <x v="196"/>
    <x v="197"/>
    <x v="0"/>
    <x v="2"/>
    <x v="4"/>
    <x v="0"/>
    <x v="1"/>
    <x v="2"/>
    <x v="3"/>
    <x v="0"/>
    <x v="0"/>
    <x v="0"/>
  </r>
  <r>
    <x v="198"/>
    <x v="168"/>
    <x v="27"/>
    <x v="3"/>
    <x v="24"/>
    <x v="1"/>
    <x v="2"/>
    <x v="6"/>
    <x v="4"/>
    <x v="7"/>
    <x v="104"/>
    <x v="4"/>
    <x v="9"/>
    <x v="1"/>
    <x v="198"/>
    <x v="197"/>
    <x v="4"/>
    <x v="120"/>
    <x v="198"/>
    <x v="197"/>
    <x v="198"/>
    <x v="0"/>
    <x v="1"/>
    <x v="5"/>
    <x v="0"/>
    <x v="1"/>
    <x v="0"/>
    <x v="4"/>
    <x v="0"/>
    <x v="0"/>
    <x v="5"/>
  </r>
  <r>
    <x v="199"/>
    <x v="169"/>
    <x v="151"/>
    <x v="2"/>
    <x v="24"/>
    <x v="1"/>
    <x v="0"/>
    <x v="5"/>
    <x v="0"/>
    <x v="6"/>
    <x v="120"/>
    <x v="5"/>
    <x v="20"/>
    <x v="1"/>
    <x v="199"/>
    <x v="198"/>
    <x v="1"/>
    <x v="121"/>
    <x v="199"/>
    <x v="198"/>
    <x v="199"/>
    <x v="1"/>
    <x v="1"/>
    <x v="2"/>
    <x v="1"/>
    <x v="2"/>
    <x v="4"/>
    <x v="2"/>
    <x v="0"/>
    <x v="0"/>
    <x v="0"/>
  </r>
  <r>
    <x v="200"/>
    <x v="170"/>
    <x v="152"/>
    <x v="2"/>
    <x v="31"/>
    <x v="1"/>
    <x v="2"/>
    <x v="2"/>
    <x v="0"/>
    <x v="18"/>
    <x v="40"/>
    <x v="6"/>
    <x v="24"/>
    <x v="4"/>
    <x v="200"/>
    <x v="199"/>
    <x v="4"/>
    <x v="122"/>
    <x v="200"/>
    <x v="199"/>
    <x v="200"/>
    <x v="0"/>
    <x v="2"/>
    <x v="0"/>
    <x v="0"/>
    <x v="0"/>
    <x v="2"/>
    <x v="5"/>
    <x v="0"/>
    <x v="0"/>
    <x v="0"/>
  </r>
  <r>
    <x v="201"/>
    <x v="171"/>
    <x v="96"/>
    <x v="2"/>
    <x v="5"/>
    <x v="0"/>
    <x v="2"/>
    <x v="2"/>
    <x v="0"/>
    <x v="18"/>
    <x v="121"/>
    <x v="1"/>
    <x v="38"/>
    <x v="1"/>
    <x v="201"/>
    <x v="200"/>
    <x v="3"/>
    <x v="3"/>
    <x v="201"/>
    <x v="200"/>
    <x v="201"/>
    <x v="0"/>
    <x v="1"/>
    <x v="0"/>
    <x v="1"/>
    <x v="2"/>
    <x v="3"/>
    <x v="6"/>
    <x v="0"/>
    <x v="0"/>
    <x v="1"/>
  </r>
  <r>
    <x v="202"/>
    <x v="171"/>
    <x v="153"/>
    <x v="0"/>
    <x v="8"/>
    <x v="0"/>
    <x v="2"/>
    <x v="9"/>
    <x v="0"/>
    <x v="10"/>
    <x v="64"/>
    <x v="3"/>
    <x v="26"/>
    <x v="1"/>
    <x v="202"/>
    <x v="201"/>
    <x v="0"/>
    <x v="123"/>
    <x v="202"/>
    <x v="201"/>
    <x v="202"/>
    <x v="3"/>
    <x v="2"/>
    <x v="2"/>
    <x v="1"/>
    <x v="2"/>
    <x v="4"/>
    <x v="7"/>
    <x v="0"/>
    <x v="0"/>
    <x v="0"/>
  </r>
  <r>
    <x v="203"/>
    <x v="172"/>
    <x v="135"/>
    <x v="2"/>
    <x v="16"/>
    <x v="1"/>
    <x v="0"/>
    <x v="19"/>
    <x v="0"/>
    <x v="58"/>
    <x v="122"/>
    <x v="2"/>
    <x v="33"/>
    <x v="1"/>
    <x v="203"/>
    <x v="202"/>
    <x v="0"/>
    <x v="124"/>
    <x v="203"/>
    <x v="202"/>
    <x v="203"/>
    <x v="2"/>
    <x v="1"/>
    <x v="1"/>
    <x v="3"/>
    <x v="0"/>
    <x v="5"/>
    <x v="0"/>
    <x v="0"/>
    <x v="0"/>
    <x v="0"/>
  </r>
  <r>
    <x v="204"/>
    <x v="173"/>
    <x v="154"/>
    <x v="2"/>
    <x v="14"/>
    <x v="1"/>
    <x v="2"/>
    <x v="6"/>
    <x v="8"/>
    <x v="7"/>
    <x v="22"/>
    <x v="2"/>
    <x v="17"/>
    <x v="1"/>
    <x v="204"/>
    <x v="203"/>
    <x v="2"/>
    <x v="125"/>
    <x v="204"/>
    <x v="203"/>
    <x v="204"/>
    <x v="0"/>
    <x v="2"/>
    <x v="0"/>
    <x v="0"/>
    <x v="0"/>
    <x v="0"/>
    <x v="1"/>
    <x v="0"/>
    <x v="0"/>
    <x v="0"/>
  </r>
  <r>
    <x v="205"/>
    <x v="174"/>
    <x v="155"/>
    <x v="2"/>
    <x v="32"/>
    <x v="1"/>
    <x v="2"/>
    <x v="9"/>
    <x v="0"/>
    <x v="15"/>
    <x v="122"/>
    <x v="2"/>
    <x v="33"/>
    <x v="1"/>
    <x v="205"/>
    <x v="204"/>
    <x v="3"/>
    <x v="3"/>
    <x v="205"/>
    <x v="204"/>
    <x v="205"/>
    <x v="1"/>
    <x v="1"/>
    <x v="2"/>
    <x v="0"/>
    <x v="0"/>
    <x v="0"/>
    <x v="1"/>
    <x v="1"/>
    <x v="1"/>
    <x v="1"/>
  </r>
  <r>
    <x v="206"/>
    <x v="175"/>
    <x v="95"/>
    <x v="1"/>
    <x v="28"/>
    <x v="1"/>
    <x v="0"/>
    <x v="15"/>
    <x v="0"/>
    <x v="46"/>
    <x v="51"/>
    <x v="0"/>
    <x v="7"/>
    <x v="1"/>
    <x v="206"/>
    <x v="205"/>
    <x v="6"/>
    <x v="126"/>
    <x v="206"/>
    <x v="205"/>
    <x v="206"/>
    <x v="3"/>
    <x v="2"/>
    <x v="0"/>
    <x v="0"/>
    <x v="0"/>
    <x v="5"/>
    <x v="3"/>
    <x v="0"/>
    <x v="0"/>
    <x v="1"/>
  </r>
  <r>
    <x v="207"/>
    <x v="176"/>
    <x v="156"/>
    <x v="2"/>
    <x v="4"/>
    <x v="1"/>
    <x v="2"/>
    <x v="6"/>
    <x v="6"/>
    <x v="31"/>
    <x v="3"/>
    <x v="2"/>
    <x v="3"/>
    <x v="1"/>
    <x v="207"/>
    <x v="206"/>
    <x v="1"/>
    <x v="127"/>
    <x v="207"/>
    <x v="206"/>
    <x v="207"/>
    <x v="2"/>
    <x v="2"/>
    <x v="1"/>
    <x v="1"/>
    <x v="2"/>
    <x v="4"/>
    <x v="5"/>
    <x v="0"/>
    <x v="0"/>
    <x v="1"/>
  </r>
  <r>
    <x v="208"/>
    <x v="177"/>
    <x v="99"/>
    <x v="3"/>
    <x v="39"/>
    <x v="1"/>
    <x v="3"/>
    <x v="10"/>
    <x v="0"/>
    <x v="12"/>
    <x v="123"/>
    <x v="3"/>
    <x v="28"/>
    <x v="0"/>
    <x v="208"/>
    <x v="207"/>
    <x v="3"/>
    <x v="3"/>
    <x v="208"/>
    <x v="207"/>
    <x v="208"/>
    <x v="3"/>
    <x v="1"/>
    <x v="0"/>
    <x v="4"/>
    <x v="4"/>
    <x v="8"/>
    <x v="2"/>
    <x v="0"/>
    <x v="0"/>
    <x v="2"/>
  </r>
  <r>
    <x v="209"/>
    <x v="178"/>
    <x v="157"/>
    <x v="2"/>
    <x v="7"/>
    <x v="0"/>
    <x v="0"/>
    <x v="0"/>
    <x v="0"/>
    <x v="0"/>
    <x v="48"/>
    <x v="1"/>
    <x v="27"/>
    <x v="0"/>
    <x v="10"/>
    <x v="208"/>
    <x v="0"/>
    <x v="128"/>
    <x v="209"/>
    <x v="208"/>
    <x v="209"/>
    <x v="2"/>
    <x v="2"/>
    <x v="0"/>
    <x v="3"/>
    <x v="5"/>
    <x v="10"/>
    <x v="0"/>
    <x v="0"/>
    <x v="0"/>
    <x v="0"/>
  </r>
  <r>
    <x v="210"/>
    <x v="179"/>
    <x v="158"/>
    <x v="3"/>
    <x v="39"/>
    <x v="2"/>
    <x v="2"/>
    <x v="9"/>
    <x v="0"/>
    <x v="10"/>
    <x v="76"/>
    <x v="6"/>
    <x v="19"/>
    <x v="0"/>
    <x v="209"/>
    <x v="209"/>
    <x v="0"/>
    <x v="129"/>
    <x v="210"/>
    <x v="209"/>
    <x v="210"/>
    <x v="4"/>
    <x v="2"/>
    <x v="0"/>
    <x v="1"/>
    <x v="2"/>
    <x v="4"/>
    <x v="5"/>
    <x v="0"/>
    <x v="0"/>
    <x v="1"/>
  </r>
  <r>
    <x v="211"/>
    <x v="180"/>
    <x v="159"/>
    <x v="2"/>
    <x v="14"/>
    <x v="1"/>
    <x v="0"/>
    <x v="0"/>
    <x v="0"/>
    <x v="61"/>
    <x v="23"/>
    <x v="7"/>
    <x v="18"/>
    <x v="0"/>
    <x v="210"/>
    <x v="210"/>
    <x v="1"/>
    <x v="130"/>
    <x v="211"/>
    <x v="210"/>
    <x v="211"/>
    <x v="2"/>
    <x v="2"/>
    <x v="5"/>
    <x v="0"/>
    <x v="0"/>
    <x v="1"/>
    <x v="2"/>
    <x v="0"/>
    <x v="0"/>
    <x v="0"/>
  </r>
  <r>
    <x v="212"/>
    <x v="181"/>
    <x v="124"/>
    <x v="3"/>
    <x v="24"/>
    <x v="1"/>
    <x v="1"/>
    <x v="18"/>
    <x v="0"/>
    <x v="38"/>
    <x v="24"/>
    <x v="2"/>
    <x v="5"/>
    <x v="1"/>
    <x v="211"/>
    <x v="211"/>
    <x v="6"/>
    <x v="131"/>
    <x v="212"/>
    <x v="211"/>
    <x v="212"/>
    <x v="2"/>
    <x v="2"/>
    <x v="0"/>
    <x v="0"/>
    <x v="0"/>
    <x v="2"/>
    <x v="3"/>
    <x v="0"/>
    <x v="0"/>
    <x v="0"/>
  </r>
  <r>
    <x v="213"/>
    <x v="182"/>
    <x v="160"/>
    <x v="2"/>
    <x v="34"/>
    <x v="1"/>
    <x v="2"/>
    <x v="6"/>
    <x v="1"/>
    <x v="7"/>
    <x v="110"/>
    <x v="2"/>
    <x v="25"/>
    <x v="1"/>
    <x v="212"/>
    <x v="212"/>
    <x v="0"/>
    <x v="132"/>
    <x v="213"/>
    <x v="212"/>
    <x v="213"/>
    <x v="1"/>
    <x v="1"/>
    <x v="2"/>
    <x v="0"/>
    <x v="0"/>
    <x v="2"/>
    <x v="3"/>
    <x v="0"/>
    <x v="0"/>
    <x v="0"/>
  </r>
  <r>
    <x v="214"/>
    <x v="183"/>
    <x v="161"/>
    <x v="3"/>
    <x v="39"/>
    <x v="1"/>
    <x v="0"/>
    <x v="19"/>
    <x v="0"/>
    <x v="37"/>
    <x v="10"/>
    <x v="4"/>
    <x v="8"/>
    <x v="1"/>
    <x v="213"/>
    <x v="213"/>
    <x v="3"/>
    <x v="3"/>
    <x v="214"/>
    <x v="213"/>
    <x v="214"/>
    <x v="1"/>
    <x v="1"/>
    <x v="3"/>
    <x v="0"/>
    <x v="1"/>
    <x v="5"/>
    <x v="5"/>
    <x v="0"/>
    <x v="0"/>
    <x v="1"/>
  </r>
  <r>
    <x v="215"/>
    <x v="184"/>
    <x v="155"/>
    <x v="2"/>
    <x v="32"/>
    <x v="1"/>
    <x v="2"/>
    <x v="9"/>
    <x v="0"/>
    <x v="15"/>
    <x v="124"/>
    <x v="7"/>
    <x v="18"/>
    <x v="0"/>
    <x v="214"/>
    <x v="214"/>
    <x v="3"/>
    <x v="3"/>
    <x v="215"/>
    <x v="214"/>
    <x v="215"/>
    <x v="0"/>
    <x v="2"/>
    <x v="0"/>
    <x v="1"/>
    <x v="2"/>
    <x v="4"/>
    <x v="6"/>
    <x v="0"/>
    <x v="0"/>
    <x v="0"/>
  </r>
  <r>
    <x v="216"/>
    <x v="184"/>
    <x v="162"/>
    <x v="2"/>
    <x v="12"/>
    <x v="1"/>
    <x v="2"/>
    <x v="2"/>
    <x v="0"/>
    <x v="11"/>
    <x v="12"/>
    <x v="0"/>
    <x v="10"/>
    <x v="1"/>
    <x v="215"/>
    <x v="100"/>
    <x v="3"/>
    <x v="3"/>
    <x v="216"/>
    <x v="215"/>
    <x v="216"/>
    <x v="1"/>
    <x v="1"/>
    <x v="0"/>
    <x v="0"/>
    <x v="1"/>
    <x v="5"/>
    <x v="5"/>
    <x v="1"/>
    <x v="6"/>
    <x v="1"/>
  </r>
  <r>
    <x v="217"/>
    <x v="185"/>
    <x v="163"/>
    <x v="1"/>
    <x v="21"/>
    <x v="1"/>
    <x v="0"/>
    <x v="20"/>
    <x v="0"/>
    <x v="39"/>
    <x v="77"/>
    <x v="6"/>
    <x v="15"/>
    <x v="2"/>
    <x v="216"/>
    <x v="215"/>
    <x v="2"/>
    <x v="133"/>
    <x v="217"/>
    <x v="216"/>
    <x v="217"/>
    <x v="0"/>
    <x v="2"/>
    <x v="6"/>
    <x v="0"/>
    <x v="0"/>
    <x v="5"/>
    <x v="3"/>
    <x v="0"/>
    <x v="0"/>
    <x v="0"/>
  </r>
  <r>
    <x v="218"/>
    <x v="186"/>
    <x v="100"/>
    <x v="1"/>
    <x v="25"/>
    <x v="0"/>
    <x v="0"/>
    <x v="13"/>
    <x v="0"/>
    <x v="28"/>
    <x v="13"/>
    <x v="5"/>
    <x v="11"/>
    <x v="2"/>
    <x v="217"/>
    <x v="216"/>
    <x v="4"/>
    <x v="134"/>
    <x v="218"/>
    <x v="217"/>
    <x v="218"/>
    <x v="3"/>
    <x v="2"/>
    <x v="3"/>
    <x v="0"/>
    <x v="0"/>
    <x v="2"/>
    <x v="6"/>
    <x v="0"/>
    <x v="0"/>
    <x v="0"/>
  </r>
  <r>
    <x v="219"/>
    <x v="186"/>
    <x v="35"/>
    <x v="3"/>
    <x v="5"/>
    <x v="1"/>
    <x v="2"/>
    <x v="6"/>
    <x v="2"/>
    <x v="25"/>
    <x v="125"/>
    <x v="6"/>
    <x v="24"/>
    <x v="1"/>
    <x v="218"/>
    <x v="217"/>
    <x v="1"/>
    <x v="135"/>
    <x v="219"/>
    <x v="218"/>
    <x v="219"/>
    <x v="1"/>
    <x v="1"/>
    <x v="0"/>
    <x v="0"/>
    <x v="1"/>
    <x v="2"/>
    <x v="0"/>
    <x v="0"/>
    <x v="0"/>
    <x v="0"/>
  </r>
  <r>
    <x v="220"/>
    <x v="187"/>
    <x v="164"/>
    <x v="1"/>
    <x v="21"/>
    <x v="1"/>
    <x v="0"/>
    <x v="15"/>
    <x v="0"/>
    <x v="43"/>
    <x v="39"/>
    <x v="4"/>
    <x v="23"/>
    <x v="2"/>
    <x v="219"/>
    <x v="218"/>
    <x v="4"/>
    <x v="136"/>
    <x v="220"/>
    <x v="219"/>
    <x v="220"/>
    <x v="2"/>
    <x v="2"/>
    <x v="1"/>
    <x v="0"/>
    <x v="0"/>
    <x v="5"/>
    <x v="7"/>
    <x v="0"/>
    <x v="0"/>
    <x v="1"/>
  </r>
  <r>
    <x v="221"/>
    <x v="188"/>
    <x v="165"/>
    <x v="2"/>
    <x v="12"/>
    <x v="1"/>
    <x v="0"/>
    <x v="0"/>
    <x v="0"/>
    <x v="57"/>
    <x v="109"/>
    <x v="7"/>
    <x v="39"/>
    <x v="1"/>
    <x v="220"/>
    <x v="219"/>
    <x v="4"/>
    <x v="137"/>
    <x v="221"/>
    <x v="220"/>
    <x v="221"/>
    <x v="3"/>
    <x v="2"/>
    <x v="0"/>
    <x v="1"/>
    <x v="2"/>
    <x v="4"/>
    <x v="0"/>
    <x v="0"/>
    <x v="0"/>
    <x v="2"/>
  </r>
  <r>
    <x v="222"/>
    <x v="189"/>
    <x v="50"/>
    <x v="3"/>
    <x v="14"/>
    <x v="1"/>
    <x v="2"/>
    <x v="6"/>
    <x v="3"/>
    <x v="14"/>
    <x v="40"/>
    <x v="6"/>
    <x v="24"/>
    <x v="1"/>
    <x v="221"/>
    <x v="220"/>
    <x v="3"/>
    <x v="3"/>
    <x v="222"/>
    <x v="221"/>
    <x v="222"/>
    <x v="0"/>
    <x v="2"/>
    <x v="0"/>
    <x v="0"/>
    <x v="0"/>
    <x v="1"/>
    <x v="6"/>
    <x v="0"/>
    <x v="0"/>
    <x v="1"/>
  </r>
  <r>
    <x v="223"/>
    <x v="190"/>
    <x v="166"/>
    <x v="0"/>
    <x v="29"/>
    <x v="2"/>
    <x v="2"/>
    <x v="9"/>
    <x v="0"/>
    <x v="15"/>
    <x v="95"/>
    <x v="4"/>
    <x v="36"/>
    <x v="1"/>
    <x v="222"/>
    <x v="221"/>
    <x v="2"/>
    <x v="138"/>
    <x v="223"/>
    <x v="222"/>
    <x v="223"/>
    <x v="1"/>
    <x v="1"/>
    <x v="5"/>
    <x v="0"/>
    <x v="1"/>
    <x v="5"/>
    <x v="6"/>
    <x v="0"/>
    <x v="0"/>
    <x v="1"/>
  </r>
  <r>
    <x v="224"/>
    <x v="191"/>
    <x v="58"/>
    <x v="2"/>
    <x v="34"/>
    <x v="0"/>
    <x v="0"/>
    <x v="14"/>
    <x v="0"/>
    <x v="27"/>
    <x v="1"/>
    <x v="1"/>
    <x v="1"/>
    <x v="1"/>
    <x v="223"/>
    <x v="222"/>
    <x v="3"/>
    <x v="3"/>
    <x v="224"/>
    <x v="155"/>
    <x v="224"/>
    <x v="3"/>
    <x v="1"/>
    <x v="0"/>
    <x v="0"/>
    <x v="1"/>
    <x v="0"/>
    <x v="5"/>
    <x v="0"/>
    <x v="0"/>
    <x v="0"/>
  </r>
  <r>
    <x v="225"/>
    <x v="192"/>
    <x v="29"/>
    <x v="3"/>
    <x v="8"/>
    <x v="1"/>
    <x v="2"/>
    <x v="9"/>
    <x v="0"/>
    <x v="22"/>
    <x v="99"/>
    <x v="5"/>
    <x v="21"/>
    <x v="1"/>
    <x v="224"/>
    <x v="223"/>
    <x v="0"/>
    <x v="139"/>
    <x v="225"/>
    <x v="223"/>
    <x v="225"/>
    <x v="0"/>
    <x v="1"/>
    <x v="3"/>
    <x v="1"/>
    <x v="2"/>
    <x v="3"/>
    <x v="0"/>
    <x v="0"/>
    <x v="0"/>
    <x v="2"/>
  </r>
  <r>
    <x v="226"/>
    <x v="192"/>
    <x v="167"/>
    <x v="2"/>
    <x v="23"/>
    <x v="1"/>
    <x v="2"/>
    <x v="9"/>
    <x v="0"/>
    <x v="32"/>
    <x v="84"/>
    <x v="4"/>
    <x v="36"/>
    <x v="1"/>
    <x v="225"/>
    <x v="224"/>
    <x v="6"/>
    <x v="140"/>
    <x v="226"/>
    <x v="224"/>
    <x v="226"/>
    <x v="1"/>
    <x v="1"/>
    <x v="0"/>
    <x v="0"/>
    <x v="1"/>
    <x v="2"/>
    <x v="3"/>
    <x v="0"/>
    <x v="0"/>
    <x v="1"/>
  </r>
  <r>
    <x v="227"/>
    <x v="192"/>
    <x v="168"/>
    <x v="2"/>
    <x v="43"/>
    <x v="0"/>
    <x v="2"/>
    <x v="6"/>
    <x v="11"/>
    <x v="62"/>
    <x v="5"/>
    <x v="2"/>
    <x v="5"/>
    <x v="0"/>
    <x v="226"/>
    <x v="225"/>
    <x v="3"/>
    <x v="3"/>
    <x v="227"/>
    <x v="225"/>
    <x v="227"/>
    <x v="0"/>
    <x v="1"/>
    <x v="5"/>
    <x v="0"/>
    <x v="0"/>
    <x v="0"/>
    <x v="2"/>
    <x v="0"/>
    <x v="0"/>
    <x v="1"/>
  </r>
  <r>
    <x v="228"/>
    <x v="193"/>
    <x v="169"/>
    <x v="2"/>
    <x v="14"/>
    <x v="1"/>
    <x v="2"/>
    <x v="2"/>
    <x v="0"/>
    <x v="11"/>
    <x v="30"/>
    <x v="0"/>
    <x v="10"/>
    <x v="2"/>
    <x v="227"/>
    <x v="226"/>
    <x v="5"/>
    <x v="141"/>
    <x v="228"/>
    <x v="226"/>
    <x v="228"/>
    <x v="1"/>
    <x v="1"/>
    <x v="5"/>
    <x v="1"/>
    <x v="2"/>
    <x v="4"/>
    <x v="0"/>
    <x v="0"/>
    <x v="0"/>
    <x v="1"/>
  </r>
  <r>
    <x v="229"/>
    <x v="194"/>
    <x v="170"/>
    <x v="2"/>
    <x v="23"/>
    <x v="0"/>
    <x v="0"/>
    <x v="5"/>
    <x v="0"/>
    <x v="23"/>
    <x v="126"/>
    <x v="3"/>
    <x v="40"/>
    <x v="1"/>
    <x v="228"/>
    <x v="227"/>
    <x v="2"/>
    <x v="142"/>
    <x v="229"/>
    <x v="227"/>
    <x v="229"/>
    <x v="2"/>
    <x v="2"/>
    <x v="0"/>
    <x v="3"/>
    <x v="5"/>
    <x v="5"/>
    <x v="6"/>
    <x v="0"/>
    <x v="0"/>
    <x v="0"/>
  </r>
  <r>
    <x v="230"/>
    <x v="195"/>
    <x v="171"/>
    <x v="2"/>
    <x v="7"/>
    <x v="1"/>
    <x v="2"/>
    <x v="2"/>
    <x v="0"/>
    <x v="2"/>
    <x v="127"/>
    <x v="1"/>
    <x v="1"/>
    <x v="1"/>
    <x v="229"/>
    <x v="228"/>
    <x v="3"/>
    <x v="3"/>
    <x v="230"/>
    <x v="228"/>
    <x v="230"/>
    <x v="1"/>
    <x v="1"/>
    <x v="3"/>
    <x v="2"/>
    <x v="3"/>
    <x v="6"/>
    <x v="1"/>
    <x v="0"/>
    <x v="0"/>
    <x v="0"/>
  </r>
  <r>
    <x v="231"/>
    <x v="196"/>
    <x v="172"/>
    <x v="3"/>
    <x v="41"/>
    <x v="0"/>
    <x v="0"/>
    <x v="13"/>
    <x v="0"/>
    <x v="21"/>
    <x v="66"/>
    <x v="2"/>
    <x v="2"/>
    <x v="1"/>
    <x v="230"/>
    <x v="229"/>
    <x v="2"/>
    <x v="143"/>
    <x v="231"/>
    <x v="229"/>
    <x v="231"/>
    <x v="0"/>
    <x v="2"/>
    <x v="3"/>
    <x v="1"/>
    <x v="2"/>
    <x v="3"/>
    <x v="0"/>
    <x v="1"/>
    <x v="4"/>
    <x v="1"/>
  </r>
  <r>
    <x v="232"/>
    <x v="197"/>
    <x v="173"/>
    <x v="3"/>
    <x v="8"/>
    <x v="1"/>
    <x v="0"/>
    <x v="5"/>
    <x v="0"/>
    <x v="6"/>
    <x v="99"/>
    <x v="5"/>
    <x v="21"/>
    <x v="1"/>
    <x v="231"/>
    <x v="230"/>
    <x v="1"/>
    <x v="144"/>
    <x v="232"/>
    <x v="230"/>
    <x v="232"/>
    <x v="2"/>
    <x v="1"/>
    <x v="1"/>
    <x v="0"/>
    <x v="1"/>
    <x v="0"/>
    <x v="0"/>
    <x v="1"/>
    <x v="4"/>
    <x v="1"/>
  </r>
  <r>
    <x v="233"/>
    <x v="198"/>
    <x v="174"/>
    <x v="1"/>
    <x v="19"/>
    <x v="1"/>
    <x v="1"/>
    <x v="1"/>
    <x v="0"/>
    <x v="52"/>
    <x v="68"/>
    <x v="2"/>
    <x v="33"/>
    <x v="1"/>
    <x v="232"/>
    <x v="231"/>
    <x v="2"/>
    <x v="56"/>
    <x v="233"/>
    <x v="231"/>
    <x v="233"/>
    <x v="2"/>
    <x v="1"/>
    <x v="5"/>
    <x v="1"/>
    <x v="2"/>
    <x v="4"/>
    <x v="3"/>
    <x v="0"/>
    <x v="0"/>
    <x v="4"/>
  </r>
  <r>
    <x v="234"/>
    <x v="199"/>
    <x v="41"/>
    <x v="3"/>
    <x v="18"/>
    <x v="0"/>
    <x v="2"/>
    <x v="2"/>
    <x v="0"/>
    <x v="2"/>
    <x v="121"/>
    <x v="1"/>
    <x v="38"/>
    <x v="2"/>
    <x v="233"/>
    <x v="232"/>
    <x v="2"/>
    <x v="145"/>
    <x v="234"/>
    <x v="232"/>
    <x v="234"/>
    <x v="1"/>
    <x v="1"/>
    <x v="0"/>
    <x v="3"/>
    <x v="0"/>
    <x v="9"/>
    <x v="0"/>
    <x v="0"/>
    <x v="0"/>
    <x v="2"/>
  </r>
  <r>
    <x v="235"/>
    <x v="200"/>
    <x v="13"/>
    <x v="2"/>
    <x v="12"/>
    <x v="1"/>
    <x v="2"/>
    <x v="6"/>
    <x v="2"/>
    <x v="13"/>
    <x v="128"/>
    <x v="3"/>
    <x v="28"/>
    <x v="2"/>
    <x v="234"/>
    <x v="233"/>
    <x v="3"/>
    <x v="3"/>
    <x v="235"/>
    <x v="233"/>
    <x v="235"/>
    <x v="0"/>
    <x v="2"/>
    <x v="2"/>
    <x v="1"/>
    <x v="2"/>
    <x v="3"/>
    <x v="6"/>
    <x v="0"/>
    <x v="0"/>
    <x v="0"/>
  </r>
  <r>
    <x v="236"/>
    <x v="201"/>
    <x v="175"/>
    <x v="3"/>
    <x v="38"/>
    <x v="0"/>
    <x v="0"/>
    <x v="19"/>
    <x v="0"/>
    <x v="63"/>
    <x v="7"/>
    <x v="0"/>
    <x v="7"/>
    <x v="3"/>
    <x v="235"/>
    <x v="234"/>
    <x v="2"/>
    <x v="146"/>
    <x v="236"/>
    <x v="234"/>
    <x v="236"/>
    <x v="0"/>
    <x v="1"/>
    <x v="0"/>
    <x v="0"/>
    <x v="0"/>
    <x v="5"/>
    <x v="1"/>
    <x v="0"/>
    <x v="0"/>
    <x v="0"/>
  </r>
  <r>
    <x v="237"/>
    <x v="202"/>
    <x v="176"/>
    <x v="1"/>
    <x v="24"/>
    <x v="0"/>
    <x v="0"/>
    <x v="14"/>
    <x v="0"/>
    <x v="26"/>
    <x v="91"/>
    <x v="0"/>
    <x v="31"/>
    <x v="1"/>
    <x v="236"/>
    <x v="235"/>
    <x v="2"/>
    <x v="147"/>
    <x v="237"/>
    <x v="235"/>
    <x v="237"/>
    <x v="1"/>
    <x v="1"/>
    <x v="3"/>
    <x v="0"/>
    <x v="0"/>
    <x v="2"/>
    <x v="4"/>
    <x v="0"/>
    <x v="0"/>
    <x v="1"/>
  </r>
  <r>
    <x v="238"/>
    <x v="203"/>
    <x v="177"/>
    <x v="1"/>
    <x v="7"/>
    <x v="1"/>
    <x v="0"/>
    <x v="19"/>
    <x v="0"/>
    <x v="63"/>
    <x v="129"/>
    <x v="0"/>
    <x v="7"/>
    <x v="1"/>
    <x v="237"/>
    <x v="236"/>
    <x v="0"/>
    <x v="148"/>
    <x v="238"/>
    <x v="236"/>
    <x v="238"/>
    <x v="0"/>
    <x v="1"/>
    <x v="0"/>
    <x v="3"/>
    <x v="0"/>
    <x v="7"/>
    <x v="3"/>
    <x v="0"/>
    <x v="0"/>
    <x v="0"/>
  </r>
  <r>
    <x v="239"/>
    <x v="204"/>
    <x v="29"/>
    <x v="3"/>
    <x v="8"/>
    <x v="1"/>
    <x v="2"/>
    <x v="9"/>
    <x v="0"/>
    <x v="22"/>
    <x v="130"/>
    <x v="3"/>
    <x v="40"/>
    <x v="1"/>
    <x v="238"/>
    <x v="237"/>
    <x v="4"/>
    <x v="149"/>
    <x v="239"/>
    <x v="237"/>
    <x v="239"/>
    <x v="0"/>
    <x v="0"/>
    <x v="5"/>
    <x v="0"/>
    <x v="1"/>
    <x v="0"/>
    <x v="2"/>
    <x v="0"/>
    <x v="0"/>
    <x v="0"/>
  </r>
  <r>
    <x v="240"/>
    <x v="205"/>
    <x v="178"/>
    <x v="2"/>
    <x v="13"/>
    <x v="1"/>
    <x v="2"/>
    <x v="2"/>
    <x v="0"/>
    <x v="2"/>
    <x v="4"/>
    <x v="3"/>
    <x v="4"/>
    <x v="3"/>
    <x v="239"/>
    <x v="238"/>
    <x v="3"/>
    <x v="3"/>
    <x v="240"/>
    <x v="238"/>
    <x v="240"/>
    <x v="3"/>
    <x v="0"/>
    <x v="1"/>
    <x v="1"/>
    <x v="2"/>
    <x v="4"/>
    <x v="3"/>
    <x v="0"/>
    <x v="0"/>
    <x v="0"/>
  </r>
  <r>
    <x v="241"/>
    <x v="206"/>
    <x v="6"/>
    <x v="3"/>
    <x v="6"/>
    <x v="1"/>
    <x v="0"/>
    <x v="5"/>
    <x v="0"/>
    <x v="6"/>
    <x v="102"/>
    <x v="6"/>
    <x v="14"/>
    <x v="0"/>
    <x v="240"/>
    <x v="239"/>
    <x v="3"/>
    <x v="3"/>
    <x v="241"/>
    <x v="239"/>
    <x v="241"/>
    <x v="1"/>
    <x v="1"/>
    <x v="0"/>
    <x v="1"/>
    <x v="2"/>
    <x v="4"/>
    <x v="0"/>
    <x v="0"/>
    <x v="0"/>
    <x v="2"/>
  </r>
  <r>
    <x v="242"/>
    <x v="207"/>
    <x v="36"/>
    <x v="1"/>
    <x v="26"/>
    <x v="2"/>
    <x v="0"/>
    <x v="14"/>
    <x v="0"/>
    <x v="26"/>
    <x v="24"/>
    <x v="2"/>
    <x v="5"/>
    <x v="1"/>
    <x v="241"/>
    <x v="240"/>
    <x v="3"/>
    <x v="3"/>
    <x v="242"/>
    <x v="240"/>
    <x v="242"/>
    <x v="1"/>
    <x v="1"/>
    <x v="5"/>
    <x v="0"/>
    <x v="0"/>
    <x v="0"/>
    <x v="5"/>
    <x v="0"/>
    <x v="0"/>
    <x v="1"/>
  </r>
  <r>
    <x v="243"/>
    <x v="208"/>
    <x v="91"/>
    <x v="3"/>
    <x v="38"/>
    <x v="0"/>
    <x v="2"/>
    <x v="9"/>
    <x v="0"/>
    <x v="32"/>
    <x v="82"/>
    <x v="7"/>
    <x v="35"/>
    <x v="0"/>
    <x v="242"/>
    <x v="241"/>
    <x v="4"/>
    <x v="150"/>
    <x v="243"/>
    <x v="241"/>
    <x v="243"/>
    <x v="0"/>
    <x v="2"/>
    <x v="0"/>
    <x v="2"/>
    <x v="3"/>
    <x v="6"/>
    <x v="0"/>
    <x v="0"/>
    <x v="0"/>
    <x v="0"/>
  </r>
  <r>
    <x v="244"/>
    <x v="208"/>
    <x v="85"/>
    <x v="1"/>
    <x v="22"/>
    <x v="0"/>
    <x v="2"/>
    <x v="9"/>
    <x v="0"/>
    <x v="32"/>
    <x v="131"/>
    <x v="5"/>
    <x v="12"/>
    <x v="1"/>
    <x v="243"/>
    <x v="242"/>
    <x v="4"/>
    <x v="151"/>
    <x v="244"/>
    <x v="242"/>
    <x v="244"/>
    <x v="1"/>
    <x v="1"/>
    <x v="4"/>
    <x v="1"/>
    <x v="2"/>
    <x v="4"/>
    <x v="3"/>
    <x v="0"/>
    <x v="0"/>
    <x v="0"/>
  </r>
  <r>
    <x v="245"/>
    <x v="209"/>
    <x v="179"/>
    <x v="3"/>
    <x v="9"/>
    <x v="0"/>
    <x v="2"/>
    <x v="9"/>
    <x v="0"/>
    <x v="22"/>
    <x v="58"/>
    <x v="0"/>
    <x v="0"/>
    <x v="1"/>
    <x v="244"/>
    <x v="243"/>
    <x v="2"/>
    <x v="144"/>
    <x v="245"/>
    <x v="243"/>
    <x v="245"/>
    <x v="0"/>
    <x v="2"/>
    <x v="0"/>
    <x v="0"/>
    <x v="1"/>
    <x v="2"/>
    <x v="0"/>
    <x v="0"/>
    <x v="0"/>
    <x v="2"/>
  </r>
  <r>
    <x v="246"/>
    <x v="209"/>
    <x v="180"/>
    <x v="2"/>
    <x v="42"/>
    <x v="0"/>
    <x v="2"/>
    <x v="2"/>
    <x v="0"/>
    <x v="18"/>
    <x v="115"/>
    <x v="7"/>
    <x v="18"/>
    <x v="1"/>
    <x v="245"/>
    <x v="244"/>
    <x v="3"/>
    <x v="3"/>
    <x v="246"/>
    <x v="244"/>
    <x v="246"/>
    <x v="2"/>
    <x v="1"/>
    <x v="5"/>
    <x v="3"/>
    <x v="5"/>
    <x v="5"/>
    <x v="1"/>
    <x v="0"/>
    <x v="0"/>
    <x v="2"/>
  </r>
  <r>
    <x v="247"/>
    <x v="209"/>
    <x v="7"/>
    <x v="3"/>
    <x v="7"/>
    <x v="0"/>
    <x v="2"/>
    <x v="6"/>
    <x v="1"/>
    <x v="7"/>
    <x v="4"/>
    <x v="3"/>
    <x v="4"/>
    <x v="2"/>
    <x v="246"/>
    <x v="245"/>
    <x v="2"/>
    <x v="152"/>
    <x v="247"/>
    <x v="245"/>
    <x v="247"/>
    <x v="0"/>
    <x v="1"/>
    <x v="0"/>
    <x v="1"/>
    <x v="2"/>
    <x v="3"/>
    <x v="0"/>
    <x v="0"/>
    <x v="0"/>
    <x v="0"/>
  </r>
  <r>
    <x v="248"/>
    <x v="210"/>
    <x v="36"/>
    <x v="1"/>
    <x v="26"/>
    <x v="2"/>
    <x v="0"/>
    <x v="14"/>
    <x v="0"/>
    <x v="26"/>
    <x v="75"/>
    <x v="2"/>
    <x v="33"/>
    <x v="1"/>
    <x v="247"/>
    <x v="246"/>
    <x v="1"/>
    <x v="153"/>
    <x v="248"/>
    <x v="246"/>
    <x v="248"/>
    <x v="1"/>
    <x v="1"/>
    <x v="5"/>
    <x v="2"/>
    <x v="3"/>
    <x v="6"/>
    <x v="5"/>
    <x v="0"/>
    <x v="0"/>
    <x v="2"/>
  </r>
  <r>
    <x v="249"/>
    <x v="211"/>
    <x v="181"/>
    <x v="3"/>
    <x v="23"/>
    <x v="1"/>
    <x v="0"/>
    <x v="0"/>
    <x v="0"/>
    <x v="24"/>
    <x v="78"/>
    <x v="0"/>
    <x v="30"/>
    <x v="0"/>
    <x v="248"/>
    <x v="247"/>
    <x v="3"/>
    <x v="3"/>
    <x v="249"/>
    <x v="247"/>
    <x v="249"/>
    <x v="1"/>
    <x v="1"/>
    <x v="0"/>
    <x v="2"/>
    <x v="3"/>
    <x v="6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4" firstHeaderRow="0" firstDataRow="1" firstDataCol="0" rowPageCount="1" colPageCount="1"/>
  <pivotFields count="31">
    <pivotField compact="0" showAll="0">
      <items count="251">
        <item x="118"/>
        <item x="70"/>
        <item x="244"/>
        <item x="52"/>
        <item x="217"/>
        <item x="104"/>
        <item x="103"/>
        <item x="176"/>
        <item x="248"/>
        <item x="16"/>
        <item x="249"/>
        <item x="50"/>
        <item x="127"/>
        <item x="234"/>
        <item x="48"/>
        <item x="97"/>
        <item x="161"/>
        <item x="0"/>
        <item x="231"/>
        <item x="23"/>
        <item x="60"/>
        <item x="66"/>
        <item x="55"/>
        <item x="107"/>
        <item x="121"/>
        <item x="112"/>
        <item x="190"/>
        <item x="39"/>
        <item x="135"/>
        <item x="68"/>
        <item x="235"/>
        <item x="128"/>
        <item x="210"/>
        <item x="218"/>
        <item x="116"/>
        <item x="247"/>
        <item x="110"/>
        <item x="58"/>
        <item x="240"/>
        <item x="179"/>
        <item x="27"/>
        <item x="221"/>
        <item x="44"/>
        <item x="49"/>
        <item x="172"/>
        <item x="173"/>
        <item x="20"/>
        <item x="88"/>
        <item x="114"/>
        <item x="46"/>
        <item x="155"/>
        <item x="145"/>
        <item x="31"/>
        <item x="188"/>
        <item x="69"/>
        <item x="63"/>
        <item x="26"/>
        <item x="214"/>
        <item x="164"/>
        <item x="113"/>
        <item x="180"/>
        <item x="95"/>
        <item x="181"/>
        <item x="126"/>
        <item x="10"/>
        <item x="54"/>
        <item x="157"/>
        <item x="14"/>
        <item x="108"/>
        <item x="129"/>
        <item x="18"/>
        <item x="87"/>
        <item x="89"/>
        <item x="119"/>
        <item x="40"/>
        <item x="132"/>
        <item x="11"/>
        <item x="171"/>
        <item x="35"/>
        <item x="65"/>
        <item x="43"/>
        <item x="53"/>
        <item x="36"/>
        <item x="182"/>
        <item x="151"/>
        <item x="137"/>
        <item x="139"/>
        <item x="246"/>
        <item x="85"/>
        <item x="196"/>
        <item x="191"/>
        <item x="96"/>
        <item x="106"/>
        <item x="12"/>
        <item x="207"/>
        <item x="211"/>
        <item x="159"/>
        <item x="5"/>
        <item x="33"/>
        <item x="76"/>
        <item x="22"/>
        <item x="226"/>
        <item x="147"/>
        <item x="24"/>
        <item x="178"/>
        <item x="148"/>
        <item x="91"/>
        <item x="245"/>
        <item x="223"/>
        <item x="204"/>
        <item x="32"/>
        <item x="90"/>
        <item x="101"/>
        <item x="154"/>
        <item x="41"/>
        <item x="228"/>
        <item x="86"/>
        <item x="42"/>
        <item x="175"/>
        <item x="134"/>
        <item x="192"/>
        <item x="8"/>
        <item x="82"/>
        <item x="183"/>
        <item x="166"/>
        <item x="133"/>
        <item x="160"/>
        <item x="111"/>
        <item x="125"/>
        <item x="216"/>
        <item x="243"/>
        <item x="158"/>
        <item x="19"/>
        <item x="187"/>
        <item x="29"/>
        <item x="117"/>
        <item x="237"/>
        <item x="186"/>
        <item x="78"/>
        <item x="198"/>
        <item x="146"/>
        <item x="21"/>
        <item x="193"/>
        <item x="238"/>
        <item x="152"/>
        <item x="64"/>
        <item x="28"/>
        <item x="153"/>
        <item x="239"/>
        <item x="227"/>
        <item x="2"/>
        <item x="92"/>
        <item x="122"/>
        <item x="136"/>
        <item x="57"/>
        <item x="219"/>
        <item x="206"/>
        <item x="30"/>
        <item x="13"/>
        <item x="51"/>
        <item x="17"/>
        <item x="79"/>
        <item x="225"/>
        <item x="98"/>
        <item x="201"/>
        <item x="184"/>
        <item x="130"/>
        <item x="174"/>
        <item x="75"/>
        <item x="38"/>
        <item x="115"/>
        <item x="123"/>
        <item x="1"/>
        <item x="220"/>
        <item x="71"/>
        <item x="170"/>
        <item x="81"/>
        <item x="232"/>
        <item x="72"/>
        <item x="100"/>
        <item x="37"/>
        <item x="67"/>
        <item x="138"/>
        <item x="140"/>
        <item x="94"/>
        <item x="105"/>
        <item x="131"/>
        <item x="197"/>
        <item x="144"/>
        <item x="189"/>
        <item x="224"/>
        <item x="202"/>
        <item x="156"/>
        <item x="163"/>
        <item x="165"/>
        <item x="177"/>
        <item x="168"/>
        <item x="3"/>
        <item x="162"/>
        <item x="6"/>
        <item x="241"/>
        <item x="74"/>
        <item x="124"/>
        <item x="99"/>
        <item x="84"/>
        <item x="34"/>
        <item x="209"/>
        <item x="199"/>
        <item x="213"/>
        <item x="195"/>
        <item x="236"/>
        <item x="45"/>
        <item x="77"/>
        <item x="203"/>
        <item x="212"/>
        <item x="80"/>
        <item x="141"/>
        <item x="7"/>
        <item x="194"/>
        <item x="149"/>
        <item x="56"/>
        <item x="61"/>
        <item x="222"/>
        <item x="59"/>
        <item x="208"/>
        <item x="109"/>
        <item x="73"/>
        <item x="185"/>
        <item x="47"/>
        <item x="229"/>
        <item x="142"/>
        <item x="4"/>
        <item x="169"/>
        <item x="120"/>
        <item x="9"/>
        <item x="15"/>
        <item x="215"/>
        <item x="205"/>
        <item x="83"/>
        <item x="102"/>
        <item x="242"/>
        <item x="93"/>
        <item x="167"/>
        <item x="233"/>
        <item x="25"/>
        <item x="230"/>
        <item x="62"/>
        <item x="200"/>
        <item x="150"/>
        <item x="143"/>
        <item t="default"/>
      </items>
    </pivotField>
    <pivotField dataField="1"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9">
        <item x="6"/>
        <item x="7"/>
        <item x="1"/>
        <item x="2"/>
        <item x="4"/>
        <item x="0"/>
        <item x="3"/>
        <item x="5"/>
        <item t="default"/>
      </items>
    </pivotField>
    <pivotField compact="0" showAll="0"/>
    <pivotField compact="0" showAll="0"/>
    <pivotField dataField="1" compact="0" showAll="0">
      <items count="250">
        <item x="120"/>
        <item x="143"/>
        <item x="166"/>
        <item x="129"/>
        <item x="225"/>
        <item x="122"/>
        <item x="10"/>
        <item x="69"/>
        <item x="12"/>
        <item x="168"/>
        <item x="59"/>
        <item x="194"/>
        <item x="214"/>
        <item x="131"/>
        <item x="189"/>
        <item x="224"/>
        <item x="124"/>
        <item x="201"/>
        <item x="121"/>
        <item x="21"/>
        <item x="100"/>
        <item x="157"/>
        <item x="26"/>
        <item x="209"/>
        <item x="245"/>
        <item x="231"/>
        <item x="73"/>
        <item x="229"/>
        <item x="118"/>
        <item x="177"/>
        <item x="153"/>
        <item x="66"/>
        <item x="85"/>
        <item x="90"/>
        <item x="142"/>
        <item x="147"/>
        <item x="105"/>
        <item x="200"/>
        <item x="46"/>
        <item x="180"/>
        <item x="104"/>
        <item x="144"/>
        <item x="192"/>
        <item x="191"/>
        <item x="169"/>
        <item x="198"/>
        <item x="67"/>
        <item x="119"/>
        <item x="163"/>
        <item x="55"/>
        <item x="60"/>
        <item x="1"/>
        <item x="178"/>
        <item x="175"/>
        <item x="39"/>
        <item x="65"/>
        <item x="145"/>
        <item x="71"/>
        <item x="35"/>
        <item x="233"/>
        <item x="242"/>
        <item x="171"/>
        <item x="48"/>
        <item x="8"/>
        <item x="123"/>
        <item x="215"/>
        <item x="11"/>
        <item x="244"/>
        <item x="222"/>
        <item x="238"/>
        <item x="116"/>
        <item x="111"/>
        <item x="50"/>
        <item x="146"/>
        <item x="183"/>
        <item x="235"/>
        <item x="54"/>
        <item x="97"/>
        <item x="44"/>
        <item x="213"/>
        <item x="136"/>
        <item x="219"/>
        <item x="228"/>
        <item x="154"/>
        <item x="159"/>
        <item x="223"/>
        <item x="139"/>
        <item x="161"/>
        <item x="15"/>
        <item x="117"/>
        <item x="28"/>
        <item x="138"/>
        <item x="140"/>
        <item x="75"/>
        <item x="96"/>
        <item x="13"/>
        <item x="130"/>
        <item x="70"/>
        <item x="127"/>
        <item x="63"/>
        <item x="47"/>
        <item x="109"/>
        <item x="240"/>
        <item x="112"/>
        <item x="193"/>
        <item x="243"/>
        <item x="101"/>
        <item x="72"/>
        <item x="17"/>
        <item x="110"/>
        <item x="248"/>
        <item x="217"/>
        <item x="57"/>
        <item x="0"/>
        <item x="16"/>
        <item x="30"/>
        <item x="24"/>
        <item x="218"/>
        <item x="197"/>
        <item x="179"/>
        <item x="56"/>
        <item x="84"/>
        <item x="210"/>
        <item x="78"/>
        <item x="45"/>
        <item x="158"/>
        <item x="160"/>
        <item x="152"/>
        <item x="20"/>
        <item x="2"/>
        <item x="155"/>
        <item x="196"/>
        <item x="107"/>
        <item x="162"/>
        <item x="5"/>
        <item x="37"/>
        <item x="137"/>
        <item x="173"/>
        <item x="156"/>
        <item x="94"/>
        <item x="165"/>
        <item x="41"/>
        <item x="134"/>
        <item x="234"/>
        <item x="25"/>
        <item x="36"/>
        <item x="99"/>
        <item x="74"/>
        <item x="34"/>
        <item x="135"/>
        <item x="43"/>
        <item x="103"/>
        <item x="181"/>
        <item x="220"/>
        <item x="195"/>
        <item x="114"/>
        <item x="22"/>
        <item x="236"/>
        <item x="29"/>
        <item x="32"/>
        <item x="38"/>
        <item x="77"/>
        <item x="76"/>
        <item x="64"/>
        <item x="7"/>
        <item x="80"/>
        <item x="207"/>
        <item x="83"/>
        <item x="202"/>
        <item x="208"/>
        <item x="9"/>
        <item x="176"/>
        <item x="108"/>
        <item x="151"/>
        <item x="19"/>
        <item x="52"/>
        <item x="199"/>
        <item x="221"/>
        <item x="148"/>
        <item x="125"/>
        <item x="4"/>
        <item x="184"/>
        <item x="190"/>
        <item x="164"/>
        <item x="89"/>
        <item x="216"/>
        <item x="185"/>
        <item x="232"/>
        <item x="230"/>
        <item x="82"/>
        <item x="174"/>
        <item x="203"/>
        <item x="62"/>
        <item x="170"/>
        <item x="113"/>
        <item x="14"/>
        <item x="31"/>
        <item x="187"/>
        <item x="172"/>
        <item x="212"/>
        <item x="53"/>
        <item x="106"/>
        <item x="227"/>
        <item x="81"/>
        <item x="88"/>
        <item x="33"/>
        <item x="188"/>
        <item x="132"/>
        <item x="141"/>
        <item x="204"/>
        <item x="49"/>
        <item x="68"/>
        <item x="246"/>
        <item x="149"/>
        <item x="86"/>
        <item x="58"/>
        <item x="51"/>
        <item x="92"/>
        <item x="27"/>
        <item x="91"/>
        <item x="128"/>
        <item x="93"/>
        <item x="40"/>
        <item x="79"/>
        <item x="133"/>
        <item x="167"/>
        <item x="247"/>
        <item x="186"/>
        <item x="98"/>
        <item x="126"/>
        <item x="18"/>
        <item x="237"/>
        <item x="239"/>
        <item x="61"/>
        <item x="102"/>
        <item x="206"/>
        <item x="42"/>
        <item x="23"/>
        <item x="205"/>
        <item x="3"/>
        <item x="241"/>
        <item x="182"/>
        <item x="211"/>
        <item x="87"/>
        <item x="95"/>
        <item x="115"/>
        <item x="150"/>
        <item x="6"/>
        <item x="22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11"/>
  </pageFields>
  <dataFields count="2">
    <dataField name="Sum of Unit Price" fld="14" baseField="0" baseItem="0"/>
    <dataField name="Count of Order Dat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G8" firstHeaderRow="1" firstDataRow="2" firstDataCol="1"/>
  <pivotFields count="31">
    <pivotField compact="0" showAll="0">
      <items count="251">
        <item x="118"/>
        <item x="70"/>
        <item x="244"/>
        <item x="52"/>
        <item x="217"/>
        <item x="104"/>
        <item x="103"/>
        <item x="176"/>
        <item x="248"/>
        <item x="16"/>
        <item x="249"/>
        <item x="50"/>
        <item x="127"/>
        <item x="234"/>
        <item x="48"/>
        <item x="97"/>
        <item x="161"/>
        <item x="0"/>
        <item x="231"/>
        <item x="23"/>
        <item x="60"/>
        <item x="66"/>
        <item x="55"/>
        <item x="107"/>
        <item x="121"/>
        <item x="112"/>
        <item x="190"/>
        <item x="39"/>
        <item x="135"/>
        <item x="68"/>
        <item x="235"/>
        <item x="128"/>
        <item x="210"/>
        <item x="218"/>
        <item x="116"/>
        <item x="247"/>
        <item x="110"/>
        <item x="58"/>
        <item x="240"/>
        <item x="179"/>
        <item x="27"/>
        <item x="221"/>
        <item x="44"/>
        <item x="49"/>
        <item x="172"/>
        <item x="173"/>
        <item x="20"/>
        <item x="88"/>
        <item x="114"/>
        <item x="46"/>
        <item x="155"/>
        <item x="145"/>
        <item x="31"/>
        <item x="188"/>
        <item x="69"/>
        <item x="63"/>
        <item x="26"/>
        <item x="214"/>
        <item x="164"/>
        <item x="113"/>
        <item x="180"/>
        <item x="95"/>
        <item x="181"/>
        <item x="126"/>
        <item x="10"/>
        <item x="54"/>
        <item x="157"/>
        <item x="14"/>
        <item x="108"/>
        <item x="129"/>
        <item x="18"/>
        <item x="87"/>
        <item x="89"/>
        <item x="119"/>
        <item x="40"/>
        <item x="132"/>
        <item x="11"/>
        <item x="171"/>
        <item x="35"/>
        <item x="65"/>
        <item x="43"/>
        <item x="53"/>
        <item x="36"/>
        <item x="182"/>
        <item x="151"/>
        <item x="137"/>
        <item x="139"/>
        <item x="246"/>
        <item x="85"/>
        <item x="196"/>
        <item x="191"/>
        <item x="96"/>
        <item x="106"/>
        <item x="12"/>
        <item x="207"/>
        <item x="211"/>
        <item x="159"/>
        <item x="5"/>
        <item x="33"/>
        <item x="76"/>
        <item x="22"/>
        <item x="226"/>
        <item x="147"/>
        <item x="24"/>
        <item x="178"/>
        <item x="148"/>
        <item x="91"/>
        <item x="245"/>
        <item x="223"/>
        <item x="204"/>
        <item x="32"/>
        <item x="90"/>
        <item x="101"/>
        <item x="154"/>
        <item x="41"/>
        <item x="228"/>
        <item x="86"/>
        <item x="42"/>
        <item x="175"/>
        <item x="134"/>
        <item x="192"/>
        <item x="8"/>
        <item x="82"/>
        <item x="183"/>
        <item x="166"/>
        <item x="133"/>
        <item x="160"/>
        <item x="111"/>
        <item x="125"/>
        <item x="216"/>
        <item x="243"/>
        <item x="158"/>
        <item x="19"/>
        <item x="187"/>
        <item x="29"/>
        <item x="117"/>
        <item x="237"/>
        <item x="186"/>
        <item x="78"/>
        <item x="198"/>
        <item x="146"/>
        <item x="21"/>
        <item x="193"/>
        <item x="238"/>
        <item x="152"/>
        <item x="64"/>
        <item x="28"/>
        <item x="153"/>
        <item x="239"/>
        <item x="227"/>
        <item x="2"/>
        <item x="92"/>
        <item x="122"/>
        <item x="136"/>
        <item x="57"/>
        <item x="219"/>
        <item x="206"/>
        <item x="30"/>
        <item x="13"/>
        <item x="51"/>
        <item x="17"/>
        <item x="79"/>
        <item x="225"/>
        <item x="98"/>
        <item x="201"/>
        <item x="184"/>
        <item x="130"/>
        <item x="174"/>
        <item x="75"/>
        <item x="38"/>
        <item x="115"/>
        <item x="123"/>
        <item x="1"/>
        <item x="220"/>
        <item x="71"/>
        <item x="170"/>
        <item x="81"/>
        <item x="232"/>
        <item x="72"/>
        <item x="100"/>
        <item x="37"/>
        <item x="67"/>
        <item x="138"/>
        <item x="140"/>
        <item x="94"/>
        <item x="105"/>
        <item x="131"/>
        <item x="197"/>
        <item x="144"/>
        <item x="189"/>
        <item x="224"/>
        <item x="202"/>
        <item x="156"/>
        <item x="163"/>
        <item x="165"/>
        <item x="177"/>
        <item x="168"/>
        <item x="3"/>
        <item x="162"/>
        <item x="6"/>
        <item x="241"/>
        <item x="74"/>
        <item x="124"/>
        <item x="99"/>
        <item x="84"/>
        <item x="34"/>
        <item x="209"/>
        <item x="199"/>
        <item x="213"/>
        <item x="195"/>
        <item x="236"/>
        <item x="45"/>
        <item x="77"/>
        <item x="203"/>
        <item x="212"/>
        <item x="80"/>
        <item x="141"/>
        <item x="7"/>
        <item x="194"/>
        <item x="149"/>
        <item x="56"/>
        <item x="61"/>
        <item x="222"/>
        <item x="59"/>
        <item x="208"/>
        <item x="109"/>
        <item x="73"/>
        <item x="185"/>
        <item x="47"/>
        <item x="229"/>
        <item x="142"/>
        <item x="4"/>
        <item x="169"/>
        <item x="120"/>
        <item x="9"/>
        <item x="15"/>
        <item x="215"/>
        <item x="205"/>
        <item x="83"/>
        <item x="102"/>
        <item x="242"/>
        <item x="93"/>
        <item x="167"/>
        <item x="233"/>
        <item x="25"/>
        <item x="230"/>
        <item x="62"/>
        <item x="200"/>
        <item x="150"/>
        <item x="143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Col" compact="0" showAll="0">
      <items count="6">
        <item x="1"/>
        <item x="0"/>
        <item x="3"/>
        <item x="4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3"/>
        <item x="5"/>
        <item x="4"/>
        <item x="2"/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ustomer Rating" fld="3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F251" totalsRowShown="0">
  <autoFilter xmlns:etc="http://www.wps.cn/officeDocument/2017/etCustomData" ref="A1:AF251" etc:filterBottomFollowUsedRange="0"/>
  <tableColumns count="32">
    <tableColumn id="1" name="Order ID"/>
    <tableColumn id="2" name="Order Date"/>
    <tableColumn id="3" name="Customer ID"/>
    <tableColumn id="4" name="Customer Segment"/>
    <tableColumn id="5" name="Customer Age"/>
    <tableColumn id="6" name="Customer Gender"/>
    <tableColumn id="7" name="Region"/>
    <tableColumn id="8" name="Country"/>
    <tableColumn id="9" name="State/Province"/>
    <tableColumn id="10" name="City"/>
    <tableColumn id="11" name="Product Name"/>
    <tableColumn id="12" name="Category"/>
    <tableColumn id="13" name="Sub-Category"/>
    <tableColumn id="14" name="Quantity"/>
    <tableColumn id="15" name="Unit Price"/>
    <tableColumn id="16" name="Gross Revenue"/>
    <tableColumn id="17" name="Discount %"/>
    <tableColumn id="18" name="Discount Amount"/>
    <tableColumn id="19" name="Net Revenue"/>
    <tableColumn id="20" name="COGS"/>
    <tableColumn id="21" name="Gross Profit"/>
    <tableColumn id="22" name="Sales Channel"/>
    <tableColumn id="23" name="Device Type"/>
    <tableColumn id="24" name="Payment Method"/>
    <tableColumn id="25" name="Shipping Method"/>
    <tableColumn id="26" name="Shipping Cost"/>
    <tableColumn id="27" name="Delivery Days"/>
    <tableColumn id="28" name="Marketing Source"/>
    <tableColumn id="29" name="Is Returned"/>
    <tableColumn id="30" name="Return Reason"/>
    <tableColumn id="31" name="Customer Rating"/>
    <tableColumn id="32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KenjiExplains/featured" TargetMode="External"/><Relationship Id="rId2" Type="http://schemas.openxmlformats.org/officeDocument/2006/relationships/hyperlink" Target="https://www.careerprinciples.com/courses/ai-for-business-finance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8"/>
  <sheetViews>
    <sheetView showGridLines="0" zoomScale="110" zoomScaleNormal="110" topLeftCell="A3" workbookViewId="0">
      <selection activeCell="C9" sqref="C9"/>
    </sheetView>
  </sheetViews>
  <sheetFormatPr defaultColWidth="10.8363636363636" defaultRowHeight="15.5" outlineLevelCol="3"/>
  <cols>
    <col min="1" max="1" width="10.8363636363636" style="8"/>
    <col min="2" max="2" width="8.5" style="8" customWidth="1"/>
    <col min="3" max="3" width="95.6636363636364" style="8" customWidth="1"/>
    <col min="4" max="4" width="9.5" style="8" customWidth="1"/>
    <col min="5" max="16384" width="10.8363636363636" style="8"/>
  </cols>
  <sheetData>
    <row r="3" ht="74" spans="2:4">
      <c r="B3" s="9"/>
      <c r="C3" s="10" t="s">
        <v>0</v>
      </c>
      <c r="D3" s="11"/>
    </row>
    <row r="4" ht="42" customHeight="1" spans="2:4">
      <c r="B4" s="12"/>
      <c r="C4" s="13"/>
      <c r="D4" s="14"/>
    </row>
    <row r="5" ht="32" customHeight="1" spans="2:4">
      <c r="B5" s="12"/>
      <c r="C5" s="13"/>
      <c r="D5" s="14"/>
    </row>
    <row r="6" ht="11" customHeight="1" spans="2:4">
      <c r="B6" s="12"/>
      <c r="C6" s="15"/>
      <c r="D6" s="14"/>
    </row>
    <row r="7" ht="21" spans="2:4">
      <c r="B7" s="12"/>
      <c r="C7" s="16" t="s">
        <v>1</v>
      </c>
      <c r="D7" s="14"/>
    </row>
    <row r="8" ht="11" customHeight="1" spans="2:4">
      <c r="B8" s="12"/>
      <c r="C8" s="15"/>
      <c r="D8" s="14"/>
    </row>
    <row r="9" s="7" customFormat="1" ht="23.5" spans="2:4">
      <c r="B9" s="17"/>
      <c r="C9" s="18" t="s">
        <v>2</v>
      </c>
      <c r="D9" s="19"/>
    </row>
    <row r="10" spans="2:4">
      <c r="B10" s="12"/>
      <c r="C10" s="15"/>
      <c r="D10" s="14"/>
    </row>
    <row r="11" ht="18.5" spans="2:4">
      <c r="B11" s="12"/>
      <c r="C11" s="20" t="s">
        <v>3</v>
      </c>
      <c r="D11" s="14"/>
    </row>
    <row r="12" ht="6" customHeight="1" spans="2:4">
      <c r="B12" s="12"/>
      <c r="C12" s="15"/>
      <c r="D12" s="14"/>
    </row>
    <row r="13" ht="18.5" spans="2:4">
      <c r="B13" s="12"/>
      <c r="C13" s="21" t="s">
        <v>4</v>
      </c>
      <c r="D13" s="14"/>
    </row>
    <row r="14" ht="8" customHeight="1" spans="2:4">
      <c r="B14" s="12"/>
      <c r="C14" s="15"/>
      <c r="D14" s="14"/>
    </row>
    <row r="15" spans="2:4">
      <c r="B15" s="12"/>
      <c r="C15" s="22" t="s">
        <v>5</v>
      </c>
      <c r="D15" s="14"/>
    </row>
    <row r="16" spans="2:4">
      <c r="B16" s="12"/>
      <c r="C16" s="15" t="s">
        <v>6</v>
      </c>
      <c r="D16" s="14"/>
    </row>
    <row r="17" ht="31" spans="2:4">
      <c r="B17" s="12"/>
      <c r="C17" s="23" t="s">
        <v>7</v>
      </c>
      <c r="D17" s="14"/>
    </row>
    <row r="18" spans="2:4">
      <c r="B18" s="24"/>
      <c r="C18" s="25"/>
      <c r="D18" s="26"/>
    </row>
  </sheetData>
  <sheetProtection algorithmName="SHA-512" hashValue="Oh3otgoQTJTd29uuClsMUPBmRxObP2yrQeVNuNdbNcXQLVPoiiS3P/BeVYKafk4dxF9zV0QlYFNn8e3ziRP/Qw==" saltValue="YUYPkfdfdrVIA5m96EgKrA==" spinCount="100000" sheet="1" objects="1" scenarios="1"/>
  <hyperlinks>
    <hyperlink ref="C9" r:id="rId2" display="Get our AI for Business &amp; Finance Course"/>
    <hyperlink ref="C11" location="Data!A1" display="Go to Data Here"/>
    <hyperlink ref="C13" r:id="rId3" display="Made by Career Principles Ltd.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opLeftCell="I1" workbookViewId="0">
      <selection activeCell="P3" sqref="P3"/>
    </sheetView>
  </sheetViews>
  <sheetFormatPr defaultColWidth="8.72727272727273" defaultRowHeight="14.5" outlineLevelRow="3" outlineLevelCol="1"/>
  <cols>
    <col min="1" max="2" width="19.5454545454545"/>
    <col min="3" max="250" width="11.4545454545455"/>
    <col min="251" max="251" width="11.5454545454545"/>
  </cols>
  <sheetData>
    <row r="1" spans="1:2">
      <c r="A1" t="s">
        <v>8</v>
      </c>
      <c r="B1" t="s">
        <v>9</v>
      </c>
    </row>
    <row r="3" spans="1:2">
      <c r="A3" t="s">
        <v>10</v>
      </c>
      <c r="B3" t="s">
        <v>11</v>
      </c>
    </row>
    <row r="4" spans="1:2">
      <c r="A4">
        <v>50762.96</v>
      </c>
      <c r="B4">
        <v>250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8"/>
  <sheetViews>
    <sheetView workbookViewId="0">
      <selection activeCell="I13" sqref="I13"/>
    </sheetView>
  </sheetViews>
  <sheetFormatPr defaultColWidth="8.72727272727273" defaultRowHeight="14.5" outlineLevelRow="7" outlineLevelCol="6"/>
  <cols>
    <col min="1" max="1" width="23.2727272727273"/>
    <col min="2" max="6" width="19.4545454545455"/>
    <col min="7" max="7" width="11.5454545454545"/>
  </cols>
  <sheetData>
    <row r="3" spans="1:7">
      <c r="A3" t="s">
        <v>12</v>
      </c>
      <c r="B3" t="s">
        <v>13</v>
      </c>
    </row>
    <row r="4" spans="1:7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76</v>
      </c>
      <c r="C5">
        <v>96</v>
      </c>
      <c r="D5">
        <v>43</v>
      </c>
      <c r="E5">
        <v>7</v>
      </c>
      <c r="F5">
        <v>197</v>
      </c>
      <c r="G5">
        <v>419</v>
      </c>
    </row>
    <row r="6" spans="1:7">
      <c r="A6" t="s">
        <v>22</v>
      </c>
      <c r="B6">
        <v>33</v>
      </c>
      <c r="C6">
        <v>95</v>
      </c>
      <c r="D6">
        <v>17</v>
      </c>
      <c r="E6">
        <v>9</v>
      </c>
      <c r="F6">
        <v>159</v>
      </c>
      <c r="G6">
        <v>313</v>
      </c>
    </row>
    <row r="7" spans="1:7">
      <c r="A7" t="s">
        <v>23</v>
      </c>
      <c r="B7">
        <v>5</v>
      </c>
      <c r="C7">
        <v>9</v>
      </c>
      <c r="G7">
        <v>14</v>
      </c>
    </row>
    <row r="8" spans="1:7">
      <c r="A8" t="s">
        <v>20</v>
      </c>
      <c r="B8">
        <v>114</v>
      </c>
      <c r="C8">
        <v>200</v>
      </c>
      <c r="D8">
        <v>60</v>
      </c>
      <c r="E8">
        <v>16</v>
      </c>
      <c r="F8">
        <v>356</v>
      </c>
      <c r="G8">
        <v>746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1"/>
  <sheetViews>
    <sheetView tabSelected="1" workbookViewId="0">
      <selection activeCell="A1" sqref="A1:AF251"/>
    </sheetView>
  </sheetViews>
  <sheetFormatPr defaultColWidth="8.83636363636364" defaultRowHeight="14.5"/>
  <cols>
    <col min="1" max="1" width="15.7272727272727" customWidth="1"/>
    <col min="2" max="2" width="12.5454545454545" customWidth="1"/>
    <col min="3" max="3" width="11.3636363636364" customWidth="1"/>
    <col min="4" max="4" width="12.5454545454545" customWidth="1"/>
    <col min="5" max="5" width="12.6363636363636" customWidth="1"/>
    <col min="6" max="6" width="12.5454545454545" customWidth="1"/>
    <col min="7" max="7" width="16.4545454545455" customWidth="1"/>
    <col min="8" max="8" width="20.7272727272727" customWidth="1"/>
    <col min="9" max="9" width="17.3636363636364" customWidth="1"/>
    <col min="10" max="10" width="15.6363636363636" customWidth="1"/>
    <col min="11" max="11" width="26.2727272727273" customWidth="1"/>
    <col min="12" max="12" width="18.5454545454545" customWidth="1"/>
    <col min="13" max="13" width="13.4545454545455" customWidth="1"/>
    <col min="14" max="14" width="12" customWidth="1"/>
    <col min="15" max="15" width="15.2727272727273" customWidth="1"/>
    <col min="16" max="16" width="12.2727272727273" customWidth="1"/>
    <col min="17" max="17" width="11.0909090909091" customWidth="1"/>
    <col min="18" max="18" width="12" customWidth="1"/>
    <col min="19" max="19" width="15.1818181818182" customWidth="1"/>
    <col min="20" max="20" width="14.5454545454545" customWidth="1"/>
    <col min="21" max="21" width="12.3636363636364" customWidth="1"/>
    <col min="22" max="22" width="16.7272727272727" customWidth="1"/>
    <col min="23" max="23" width="16.1818181818182" customWidth="1"/>
    <col min="24" max="24" width="18.4545454545455" customWidth="1"/>
    <col min="25" max="25" width="17.7272727272727" customWidth="1"/>
    <col min="26" max="26" width="18.4545454545455" customWidth="1"/>
    <col min="27" max="27" width="17.9090909090909" customWidth="1"/>
    <col min="28" max="28" width="19.1818181818182" customWidth="1"/>
    <col min="29" max="29" width="12.6363636363636" customWidth="1"/>
    <col min="30" max="30" width="17" customWidth="1"/>
    <col min="31" max="31" width="19.3636363636364" customWidth="1"/>
    <col min="32" max="32" width="12.0909090909091" customWidth="1"/>
  </cols>
  <sheetData>
    <row r="1" spans="1:32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14</v>
      </c>
      <c r="G1" s="6" t="s">
        <v>13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8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t="s">
        <v>52</v>
      </c>
    </row>
    <row r="2" spans="1:32">
      <c r="A2" t="s">
        <v>53</v>
      </c>
      <c r="B2" t="s">
        <v>54</v>
      </c>
      <c r="C2" t="s">
        <v>55</v>
      </c>
      <c r="D2" t="s">
        <v>56</v>
      </c>
      <c r="E2">
        <v>50</v>
      </c>
      <c r="F2" t="s">
        <v>22</v>
      </c>
      <c r="G2" t="s">
        <v>16</v>
      </c>
      <c r="H2" t="s">
        <v>57</v>
      </c>
      <c r="J2" t="s">
        <v>58</v>
      </c>
      <c r="K2" t="s">
        <v>59</v>
      </c>
      <c r="L2" t="s">
        <v>60</v>
      </c>
      <c r="M2" t="s">
        <v>61</v>
      </c>
      <c r="N2">
        <v>2</v>
      </c>
      <c r="O2">
        <v>69.84</v>
      </c>
      <c r="P2">
        <v>139.68</v>
      </c>
      <c r="Q2">
        <v>0.05</v>
      </c>
      <c r="R2">
        <v>6.98</v>
      </c>
      <c r="S2">
        <v>132.7</v>
      </c>
      <c r="T2">
        <v>82.33</v>
      </c>
      <c r="U2">
        <v>50.37</v>
      </c>
      <c r="V2" t="s">
        <v>62</v>
      </c>
      <c r="W2" t="s">
        <v>63</v>
      </c>
      <c r="X2" t="s">
        <v>64</v>
      </c>
      <c r="Y2" t="s">
        <v>65</v>
      </c>
      <c r="Z2">
        <v>0</v>
      </c>
      <c r="AA2">
        <v>4</v>
      </c>
      <c r="AB2" t="s">
        <v>66</v>
      </c>
      <c r="AC2" t="s">
        <v>67</v>
      </c>
      <c r="AE2">
        <v>5</v>
      </c>
    </row>
    <row r="3" spans="1:32">
      <c r="A3" t="s">
        <v>68</v>
      </c>
      <c r="B3" t="s">
        <v>69</v>
      </c>
      <c r="C3" t="s">
        <v>70</v>
      </c>
      <c r="D3" t="s">
        <v>71</v>
      </c>
      <c r="E3">
        <v>54</v>
      </c>
      <c r="F3" t="s">
        <v>21</v>
      </c>
      <c r="G3" t="s">
        <v>15</v>
      </c>
      <c r="H3" t="s">
        <v>72</v>
      </c>
      <c r="J3" t="s">
        <v>73</v>
      </c>
      <c r="K3" t="s">
        <v>74</v>
      </c>
      <c r="L3" t="s">
        <v>75</v>
      </c>
      <c r="M3" t="s">
        <v>76</v>
      </c>
      <c r="N3">
        <v>1</v>
      </c>
      <c r="O3">
        <v>26.24</v>
      </c>
      <c r="P3">
        <v>26.24</v>
      </c>
      <c r="Q3">
        <v>0.2</v>
      </c>
      <c r="R3">
        <v>5.25</v>
      </c>
      <c r="S3">
        <v>20.99</v>
      </c>
      <c r="T3">
        <v>14.22</v>
      </c>
      <c r="U3">
        <v>6.77</v>
      </c>
      <c r="V3" t="s">
        <v>77</v>
      </c>
      <c r="W3" t="s">
        <v>78</v>
      </c>
      <c r="X3" t="s">
        <v>64</v>
      </c>
      <c r="Y3" t="s">
        <v>65</v>
      </c>
      <c r="Z3">
        <v>5.99</v>
      </c>
      <c r="AA3">
        <v>5</v>
      </c>
      <c r="AB3" t="s">
        <v>66</v>
      </c>
      <c r="AC3" t="s">
        <v>67</v>
      </c>
      <c r="AE3">
        <v>5</v>
      </c>
    </row>
    <row r="4" spans="1:32">
      <c r="A4" t="s">
        <v>79</v>
      </c>
      <c r="B4" t="s">
        <v>80</v>
      </c>
      <c r="C4" t="s">
        <v>81</v>
      </c>
      <c r="D4" t="s">
        <v>71</v>
      </c>
      <c r="E4">
        <v>51</v>
      </c>
      <c r="F4" t="s">
        <v>22</v>
      </c>
      <c r="G4" t="s">
        <v>19</v>
      </c>
      <c r="H4" t="s">
        <v>82</v>
      </c>
      <c r="J4" t="s">
        <v>83</v>
      </c>
      <c r="K4" t="s">
        <v>84</v>
      </c>
      <c r="L4" t="s">
        <v>85</v>
      </c>
      <c r="M4" t="s">
        <v>86</v>
      </c>
      <c r="N4">
        <v>1</v>
      </c>
      <c r="O4">
        <v>82.43</v>
      </c>
      <c r="P4">
        <v>82.43</v>
      </c>
      <c r="Q4">
        <v>0.1</v>
      </c>
      <c r="R4">
        <v>8.24</v>
      </c>
      <c r="S4">
        <v>74.19</v>
      </c>
      <c r="T4">
        <v>61.05</v>
      </c>
      <c r="U4">
        <v>13.14</v>
      </c>
      <c r="V4" t="s">
        <v>62</v>
      </c>
      <c r="W4" t="s">
        <v>78</v>
      </c>
      <c r="X4" t="s">
        <v>87</v>
      </c>
      <c r="Y4" t="s">
        <v>65</v>
      </c>
      <c r="Z4">
        <v>5.99</v>
      </c>
      <c r="AA4">
        <v>6</v>
      </c>
      <c r="AB4" t="s">
        <v>88</v>
      </c>
      <c r="AC4" t="s">
        <v>67</v>
      </c>
      <c r="AF4" t="str">
        <f>VLOOKUP(V4,U1:W5,1,1)</f>
        <v>Gross Profit</v>
      </c>
    </row>
    <row r="5" spans="1:32">
      <c r="A5" t="s">
        <v>89</v>
      </c>
      <c r="B5" t="s">
        <v>90</v>
      </c>
      <c r="C5" t="s">
        <v>91</v>
      </c>
      <c r="D5" t="s">
        <v>92</v>
      </c>
      <c r="E5">
        <v>59</v>
      </c>
      <c r="F5" t="s">
        <v>22</v>
      </c>
      <c r="G5" t="s">
        <v>15</v>
      </c>
      <c r="H5" t="s">
        <v>93</v>
      </c>
      <c r="J5" t="s">
        <v>93</v>
      </c>
      <c r="K5" t="s">
        <v>94</v>
      </c>
      <c r="L5" t="s">
        <v>85</v>
      </c>
      <c r="M5" t="s">
        <v>95</v>
      </c>
      <c r="N5">
        <v>2</v>
      </c>
      <c r="O5">
        <v>1057.98</v>
      </c>
      <c r="P5">
        <v>2115.96</v>
      </c>
      <c r="Q5">
        <v>0</v>
      </c>
      <c r="R5">
        <v>0</v>
      </c>
      <c r="S5">
        <v>2115.96</v>
      </c>
      <c r="T5">
        <v>1655.53</v>
      </c>
      <c r="U5">
        <v>460.43</v>
      </c>
      <c r="V5" t="s">
        <v>96</v>
      </c>
      <c r="W5" t="s">
        <v>78</v>
      </c>
      <c r="X5" t="s">
        <v>87</v>
      </c>
      <c r="Y5" t="s">
        <v>65</v>
      </c>
      <c r="Z5">
        <v>0</v>
      </c>
      <c r="AA5">
        <v>6</v>
      </c>
      <c r="AB5" t="s">
        <v>97</v>
      </c>
      <c r="AC5" t="s">
        <v>67</v>
      </c>
      <c r="AF5" t="str">
        <f>VLOOKUP(V5,V4:W8,2,0)</f>
        <v>Mobile</v>
      </c>
    </row>
    <row r="6" spans="1:32">
      <c r="A6" t="s">
        <v>98</v>
      </c>
      <c r="B6" t="s">
        <v>99</v>
      </c>
      <c r="C6" t="s">
        <v>100</v>
      </c>
      <c r="D6" t="s">
        <v>56</v>
      </c>
      <c r="E6">
        <v>42</v>
      </c>
      <c r="F6" t="s">
        <v>21</v>
      </c>
      <c r="G6" t="s">
        <v>17</v>
      </c>
      <c r="H6" t="s">
        <v>101</v>
      </c>
      <c r="J6" t="s">
        <v>102</v>
      </c>
      <c r="K6" t="s">
        <v>103</v>
      </c>
      <c r="L6" t="s">
        <v>104</v>
      </c>
      <c r="M6" t="s">
        <v>105</v>
      </c>
      <c r="N6">
        <v>2</v>
      </c>
      <c r="O6">
        <v>211.18</v>
      </c>
      <c r="P6">
        <v>422.36</v>
      </c>
      <c r="Q6">
        <v>0.15</v>
      </c>
      <c r="R6">
        <v>63.35</v>
      </c>
      <c r="S6">
        <v>359.01</v>
      </c>
      <c r="T6">
        <v>221.9</v>
      </c>
      <c r="U6">
        <v>137.11</v>
      </c>
      <c r="V6" t="s">
        <v>62</v>
      </c>
      <c r="W6" t="s">
        <v>78</v>
      </c>
      <c r="X6" t="s">
        <v>106</v>
      </c>
      <c r="Y6" t="s">
        <v>107</v>
      </c>
      <c r="Z6">
        <v>12.99</v>
      </c>
      <c r="AA6">
        <v>3</v>
      </c>
      <c r="AB6" t="s">
        <v>66</v>
      </c>
      <c r="AC6" t="s">
        <v>67</v>
      </c>
      <c r="AE6">
        <v>5</v>
      </c>
    </row>
    <row r="7" spans="1:32">
      <c r="A7" t="s">
        <v>108</v>
      </c>
      <c r="B7" t="s">
        <v>99</v>
      </c>
      <c r="C7" t="s">
        <v>109</v>
      </c>
      <c r="D7" t="s">
        <v>110</v>
      </c>
      <c r="E7">
        <v>36</v>
      </c>
      <c r="F7" t="s">
        <v>21</v>
      </c>
      <c r="G7" t="s">
        <v>15</v>
      </c>
      <c r="H7" t="s">
        <v>72</v>
      </c>
      <c r="J7" t="s">
        <v>111</v>
      </c>
      <c r="K7" t="s">
        <v>112</v>
      </c>
      <c r="L7" t="s">
        <v>85</v>
      </c>
      <c r="M7" t="s">
        <v>113</v>
      </c>
      <c r="N7">
        <v>1</v>
      </c>
      <c r="O7">
        <v>86.68</v>
      </c>
      <c r="P7">
        <v>86.68</v>
      </c>
      <c r="Q7">
        <v>0.15</v>
      </c>
      <c r="R7">
        <v>13</v>
      </c>
      <c r="S7">
        <v>73.68</v>
      </c>
      <c r="T7">
        <v>55.03</v>
      </c>
      <c r="U7">
        <v>18.65</v>
      </c>
      <c r="V7" t="s">
        <v>62</v>
      </c>
      <c r="W7" t="s">
        <v>114</v>
      </c>
      <c r="X7" t="s">
        <v>115</v>
      </c>
      <c r="Y7" t="s">
        <v>107</v>
      </c>
      <c r="Z7">
        <v>12.99</v>
      </c>
      <c r="AA7">
        <v>2</v>
      </c>
      <c r="AB7" t="s">
        <v>88</v>
      </c>
      <c r="AC7" t="s">
        <v>67</v>
      </c>
      <c r="AE7">
        <v>5</v>
      </c>
    </row>
    <row r="8" spans="1:32">
      <c r="A8" t="s">
        <v>116</v>
      </c>
      <c r="B8" t="s">
        <v>117</v>
      </c>
      <c r="C8" t="s">
        <v>118</v>
      </c>
      <c r="D8" t="s">
        <v>56</v>
      </c>
      <c r="E8">
        <v>43</v>
      </c>
      <c r="F8" t="s">
        <v>21</v>
      </c>
      <c r="G8" t="s">
        <v>16</v>
      </c>
      <c r="H8" t="s">
        <v>119</v>
      </c>
      <c r="J8" t="s">
        <v>120</v>
      </c>
      <c r="K8" t="s">
        <v>112</v>
      </c>
      <c r="L8" t="s">
        <v>85</v>
      </c>
      <c r="M8" t="s">
        <v>113</v>
      </c>
      <c r="N8">
        <v>3</v>
      </c>
      <c r="O8">
        <v>1565.66</v>
      </c>
      <c r="P8">
        <v>4696.98</v>
      </c>
      <c r="Q8">
        <v>0</v>
      </c>
      <c r="R8">
        <v>0</v>
      </c>
      <c r="S8">
        <v>4696.98</v>
      </c>
      <c r="T8">
        <v>3665.52</v>
      </c>
      <c r="U8">
        <v>1031.46</v>
      </c>
      <c r="V8" t="s">
        <v>62</v>
      </c>
      <c r="W8" t="s">
        <v>78</v>
      </c>
      <c r="X8" t="s">
        <v>64</v>
      </c>
      <c r="Y8" t="s">
        <v>65</v>
      </c>
      <c r="Z8">
        <v>0</v>
      </c>
      <c r="AA8">
        <v>5</v>
      </c>
      <c r="AB8" t="s">
        <v>66</v>
      </c>
      <c r="AC8" t="s">
        <v>67</v>
      </c>
      <c r="AF8" t="str">
        <f>VLOOKUP(V2,V2:X9,3,2)</f>
        <v>Credit Card</v>
      </c>
    </row>
    <row r="9" spans="1:32">
      <c r="A9" t="s">
        <v>121</v>
      </c>
      <c r="B9" t="s">
        <v>122</v>
      </c>
      <c r="C9" t="s">
        <v>123</v>
      </c>
      <c r="D9" t="s">
        <v>110</v>
      </c>
      <c r="E9">
        <v>41</v>
      </c>
      <c r="F9" t="s">
        <v>22</v>
      </c>
      <c r="G9" t="s">
        <v>19</v>
      </c>
      <c r="H9" t="s">
        <v>124</v>
      </c>
      <c r="I9" t="s">
        <v>125</v>
      </c>
      <c r="J9" t="s">
        <v>126</v>
      </c>
      <c r="K9" t="s">
        <v>127</v>
      </c>
      <c r="L9" t="s">
        <v>60</v>
      </c>
      <c r="M9" t="s">
        <v>128</v>
      </c>
      <c r="N9">
        <v>1</v>
      </c>
      <c r="O9">
        <v>157.95</v>
      </c>
      <c r="P9">
        <v>157.95</v>
      </c>
      <c r="Q9">
        <v>0</v>
      </c>
      <c r="R9">
        <v>0</v>
      </c>
      <c r="S9">
        <v>157.95</v>
      </c>
      <c r="T9">
        <v>96.73</v>
      </c>
      <c r="U9">
        <v>61.22</v>
      </c>
      <c r="V9" t="s">
        <v>77</v>
      </c>
      <c r="W9" t="s">
        <v>78</v>
      </c>
      <c r="X9" t="s">
        <v>129</v>
      </c>
      <c r="Y9" t="s">
        <v>65</v>
      </c>
      <c r="Z9">
        <v>0</v>
      </c>
      <c r="AA9">
        <v>7</v>
      </c>
      <c r="AB9" t="s">
        <v>66</v>
      </c>
      <c r="AC9" t="s">
        <v>67</v>
      </c>
      <c r="AE9">
        <v>4</v>
      </c>
    </row>
    <row r="10" spans="1:32">
      <c r="A10" t="s">
        <v>130</v>
      </c>
      <c r="B10" t="s">
        <v>131</v>
      </c>
      <c r="C10" t="s">
        <v>132</v>
      </c>
      <c r="D10" t="s">
        <v>110</v>
      </c>
      <c r="E10">
        <v>18</v>
      </c>
      <c r="F10" t="s">
        <v>22</v>
      </c>
      <c r="G10" t="s">
        <v>18</v>
      </c>
      <c r="H10" t="s">
        <v>133</v>
      </c>
      <c r="J10" t="s">
        <v>134</v>
      </c>
      <c r="K10" t="s">
        <v>135</v>
      </c>
      <c r="L10" t="s">
        <v>60</v>
      </c>
      <c r="M10" t="s">
        <v>136</v>
      </c>
      <c r="N10">
        <v>1</v>
      </c>
      <c r="O10">
        <v>29.99</v>
      </c>
      <c r="P10">
        <v>29.99</v>
      </c>
      <c r="Q10">
        <v>0</v>
      </c>
      <c r="R10">
        <v>0</v>
      </c>
      <c r="S10">
        <v>29.99</v>
      </c>
      <c r="T10">
        <v>18.96</v>
      </c>
      <c r="U10">
        <v>11.03</v>
      </c>
      <c r="V10" t="s">
        <v>96</v>
      </c>
      <c r="W10" t="s">
        <v>114</v>
      </c>
      <c r="X10" t="s">
        <v>137</v>
      </c>
      <c r="Y10" t="s">
        <v>65</v>
      </c>
      <c r="Z10">
        <v>5.99</v>
      </c>
      <c r="AA10">
        <v>6</v>
      </c>
      <c r="AB10" t="s">
        <v>66</v>
      </c>
      <c r="AC10" t="s">
        <v>67</v>
      </c>
    </row>
    <row r="11" spans="1:32">
      <c r="A11" t="s">
        <v>138</v>
      </c>
      <c r="B11" t="s">
        <v>139</v>
      </c>
      <c r="C11" t="s">
        <v>140</v>
      </c>
      <c r="D11" t="s">
        <v>92</v>
      </c>
      <c r="E11">
        <v>40</v>
      </c>
      <c r="F11" t="s">
        <v>21</v>
      </c>
      <c r="G11" t="s">
        <v>18</v>
      </c>
      <c r="H11" t="s">
        <v>141</v>
      </c>
      <c r="J11" t="s">
        <v>142</v>
      </c>
      <c r="K11" t="s">
        <v>143</v>
      </c>
      <c r="L11" t="s">
        <v>60</v>
      </c>
      <c r="M11" t="s">
        <v>61</v>
      </c>
      <c r="N11">
        <v>1</v>
      </c>
      <c r="O11">
        <v>181.59</v>
      </c>
      <c r="P11">
        <v>181.59</v>
      </c>
      <c r="Q11">
        <v>0.2</v>
      </c>
      <c r="R11">
        <v>36.32</v>
      </c>
      <c r="S11">
        <v>145.27</v>
      </c>
      <c r="T11">
        <v>90.14</v>
      </c>
      <c r="U11">
        <v>55.13</v>
      </c>
      <c r="V11" t="s">
        <v>96</v>
      </c>
      <c r="W11" t="s">
        <v>78</v>
      </c>
      <c r="X11" t="s">
        <v>144</v>
      </c>
      <c r="Y11" t="s">
        <v>65</v>
      </c>
      <c r="Z11">
        <v>0</v>
      </c>
      <c r="AA11">
        <v>5</v>
      </c>
      <c r="AB11" t="s">
        <v>66</v>
      </c>
      <c r="AC11" t="s">
        <v>67</v>
      </c>
    </row>
    <row r="12" spans="1:32">
      <c r="A12" t="s">
        <v>145</v>
      </c>
      <c r="B12" t="s">
        <v>146</v>
      </c>
      <c r="C12" t="s">
        <v>147</v>
      </c>
      <c r="D12" t="s">
        <v>110</v>
      </c>
      <c r="E12">
        <v>47</v>
      </c>
      <c r="F12" t="s">
        <v>22</v>
      </c>
      <c r="G12" t="s">
        <v>19</v>
      </c>
      <c r="H12" t="s">
        <v>148</v>
      </c>
      <c r="J12" t="s">
        <v>149</v>
      </c>
      <c r="K12" t="s">
        <v>150</v>
      </c>
      <c r="L12" t="s">
        <v>151</v>
      </c>
      <c r="M12" t="s">
        <v>152</v>
      </c>
      <c r="N12">
        <v>1</v>
      </c>
      <c r="O12">
        <v>8.97</v>
      </c>
      <c r="P12">
        <v>8.97</v>
      </c>
      <c r="Q12">
        <v>0</v>
      </c>
      <c r="R12">
        <v>0</v>
      </c>
      <c r="S12">
        <v>8.97</v>
      </c>
      <c r="T12">
        <v>5.85</v>
      </c>
      <c r="U12">
        <v>3.12</v>
      </c>
      <c r="V12" t="s">
        <v>62</v>
      </c>
      <c r="W12" t="s">
        <v>114</v>
      </c>
      <c r="X12" t="s">
        <v>64</v>
      </c>
      <c r="Y12" t="s">
        <v>107</v>
      </c>
      <c r="Z12">
        <v>12.99</v>
      </c>
      <c r="AA12">
        <v>3</v>
      </c>
      <c r="AB12" t="s">
        <v>66</v>
      </c>
      <c r="AC12" t="s">
        <v>67</v>
      </c>
      <c r="AE12">
        <v>1</v>
      </c>
    </row>
    <row r="13" spans="1:32">
      <c r="A13" t="s">
        <v>153</v>
      </c>
      <c r="B13" t="s">
        <v>154</v>
      </c>
      <c r="C13" t="s">
        <v>155</v>
      </c>
      <c r="D13" t="s">
        <v>110</v>
      </c>
      <c r="E13">
        <v>19</v>
      </c>
      <c r="F13" t="s">
        <v>21</v>
      </c>
      <c r="G13" t="s">
        <v>19</v>
      </c>
      <c r="H13" t="s">
        <v>82</v>
      </c>
      <c r="J13" t="s">
        <v>156</v>
      </c>
      <c r="K13" t="s">
        <v>157</v>
      </c>
      <c r="L13" t="s">
        <v>151</v>
      </c>
      <c r="M13" t="s">
        <v>152</v>
      </c>
      <c r="N13">
        <v>3</v>
      </c>
      <c r="O13">
        <v>33.33</v>
      </c>
      <c r="P13">
        <v>99.99</v>
      </c>
      <c r="Q13">
        <v>0.3</v>
      </c>
      <c r="R13">
        <v>30</v>
      </c>
      <c r="S13">
        <v>69.99</v>
      </c>
      <c r="T13">
        <v>46.07</v>
      </c>
      <c r="U13">
        <v>23.92</v>
      </c>
      <c r="V13" t="s">
        <v>77</v>
      </c>
      <c r="W13" t="s">
        <v>78</v>
      </c>
      <c r="X13" t="s">
        <v>137</v>
      </c>
      <c r="Y13" t="s">
        <v>107</v>
      </c>
      <c r="Z13">
        <v>12.99</v>
      </c>
      <c r="AA13">
        <v>3</v>
      </c>
      <c r="AB13" t="s">
        <v>66</v>
      </c>
      <c r="AC13" t="s">
        <v>67</v>
      </c>
      <c r="AE13">
        <v>5</v>
      </c>
    </row>
    <row r="14" spans="1:32">
      <c r="A14" t="s">
        <v>158</v>
      </c>
      <c r="B14" t="s">
        <v>154</v>
      </c>
      <c r="C14" t="s">
        <v>159</v>
      </c>
      <c r="D14" t="s">
        <v>92</v>
      </c>
      <c r="E14">
        <v>47</v>
      </c>
      <c r="F14" t="s">
        <v>21</v>
      </c>
      <c r="G14" t="s">
        <v>17</v>
      </c>
      <c r="H14" t="s">
        <v>160</v>
      </c>
      <c r="J14" t="s">
        <v>161</v>
      </c>
      <c r="K14" t="s">
        <v>162</v>
      </c>
      <c r="L14" t="s">
        <v>151</v>
      </c>
      <c r="M14" t="s">
        <v>163</v>
      </c>
      <c r="N14">
        <v>2</v>
      </c>
      <c r="O14">
        <v>9.38</v>
      </c>
      <c r="P14">
        <v>18.76</v>
      </c>
      <c r="Q14">
        <v>0.1</v>
      </c>
      <c r="R14">
        <v>1.88</v>
      </c>
      <c r="S14">
        <v>16.88</v>
      </c>
      <c r="T14">
        <v>13.46</v>
      </c>
      <c r="U14">
        <v>3.42</v>
      </c>
      <c r="V14" t="s">
        <v>77</v>
      </c>
      <c r="W14" t="s">
        <v>78</v>
      </c>
      <c r="X14" t="s">
        <v>64</v>
      </c>
      <c r="Y14" t="s">
        <v>65</v>
      </c>
      <c r="Z14">
        <v>5.99</v>
      </c>
      <c r="AA14">
        <v>4</v>
      </c>
      <c r="AB14" t="s">
        <v>164</v>
      </c>
      <c r="AC14" t="s">
        <v>67</v>
      </c>
      <c r="AE14">
        <v>5</v>
      </c>
    </row>
    <row r="15" spans="1:32">
      <c r="A15" t="s">
        <v>165</v>
      </c>
      <c r="B15" t="s">
        <v>154</v>
      </c>
      <c r="C15" t="s">
        <v>166</v>
      </c>
      <c r="D15" t="s">
        <v>110</v>
      </c>
      <c r="E15">
        <v>37</v>
      </c>
      <c r="F15" t="s">
        <v>21</v>
      </c>
      <c r="G15" t="s">
        <v>19</v>
      </c>
      <c r="H15" t="s">
        <v>124</v>
      </c>
      <c r="I15" t="s">
        <v>167</v>
      </c>
      <c r="J15" t="s">
        <v>168</v>
      </c>
      <c r="K15" t="s">
        <v>169</v>
      </c>
      <c r="L15" t="s">
        <v>60</v>
      </c>
      <c r="M15" t="s">
        <v>170</v>
      </c>
      <c r="N15">
        <v>3</v>
      </c>
      <c r="O15">
        <v>54.09</v>
      </c>
      <c r="P15">
        <v>162.27</v>
      </c>
      <c r="Q15">
        <v>0.15</v>
      </c>
      <c r="R15">
        <v>24.34</v>
      </c>
      <c r="S15">
        <v>137.93</v>
      </c>
      <c r="T15">
        <v>79.96</v>
      </c>
      <c r="U15">
        <v>57.97</v>
      </c>
      <c r="V15" t="s">
        <v>62</v>
      </c>
      <c r="W15" t="s">
        <v>78</v>
      </c>
      <c r="X15" t="s">
        <v>64</v>
      </c>
      <c r="Y15" t="s">
        <v>107</v>
      </c>
      <c r="Z15">
        <v>12.99</v>
      </c>
      <c r="AA15">
        <v>3</v>
      </c>
      <c r="AB15" t="s">
        <v>164</v>
      </c>
      <c r="AC15" t="s">
        <v>67</v>
      </c>
      <c r="AE15">
        <v>5</v>
      </c>
    </row>
    <row r="16" spans="1:32">
      <c r="A16" t="s">
        <v>171</v>
      </c>
      <c r="B16" t="s">
        <v>172</v>
      </c>
      <c r="C16" t="s">
        <v>173</v>
      </c>
      <c r="D16" t="s">
        <v>110</v>
      </c>
      <c r="E16">
        <v>29</v>
      </c>
      <c r="F16" t="s">
        <v>22</v>
      </c>
      <c r="G16" t="s">
        <v>19</v>
      </c>
      <c r="H16" t="s">
        <v>124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>
        <v>2</v>
      </c>
      <c r="O16">
        <v>296.89</v>
      </c>
      <c r="P16">
        <v>593.78</v>
      </c>
      <c r="Q16">
        <v>0.05</v>
      </c>
      <c r="R16">
        <v>29.69</v>
      </c>
      <c r="S16">
        <v>564.09</v>
      </c>
      <c r="T16">
        <v>348.95</v>
      </c>
      <c r="U16">
        <v>215.14</v>
      </c>
      <c r="V16" t="s">
        <v>77</v>
      </c>
      <c r="W16" t="s">
        <v>78</v>
      </c>
      <c r="X16" t="s">
        <v>87</v>
      </c>
      <c r="Y16" t="s">
        <v>65</v>
      </c>
      <c r="Z16">
        <v>0</v>
      </c>
      <c r="AA16">
        <v>5</v>
      </c>
      <c r="AB16" t="s">
        <v>66</v>
      </c>
      <c r="AC16" t="s">
        <v>67</v>
      </c>
    </row>
    <row r="17" spans="1:31">
      <c r="A17" t="s">
        <v>179</v>
      </c>
      <c r="B17" t="s">
        <v>180</v>
      </c>
      <c r="C17" t="s">
        <v>181</v>
      </c>
      <c r="D17" t="s">
        <v>92</v>
      </c>
      <c r="E17">
        <v>28</v>
      </c>
      <c r="F17" t="s">
        <v>21</v>
      </c>
      <c r="G17" t="s">
        <v>19</v>
      </c>
      <c r="H17" t="s">
        <v>148</v>
      </c>
      <c r="J17" t="s">
        <v>182</v>
      </c>
      <c r="K17" t="s">
        <v>183</v>
      </c>
      <c r="L17" t="s">
        <v>177</v>
      </c>
      <c r="M17" t="s">
        <v>184</v>
      </c>
      <c r="N17">
        <v>1</v>
      </c>
      <c r="O17">
        <v>48.62</v>
      </c>
      <c r="P17">
        <v>48.62</v>
      </c>
      <c r="Q17">
        <v>0.1</v>
      </c>
      <c r="R17">
        <v>4.86</v>
      </c>
      <c r="S17">
        <v>43.76</v>
      </c>
      <c r="T17">
        <v>23.35</v>
      </c>
      <c r="U17">
        <v>20.41</v>
      </c>
      <c r="V17" t="s">
        <v>62</v>
      </c>
      <c r="W17" t="s">
        <v>78</v>
      </c>
      <c r="X17" t="s">
        <v>115</v>
      </c>
      <c r="Y17" t="s">
        <v>65</v>
      </c>
      <c r="Z17">
        <v>5.99</v>
      </c>
      <c r="AA17">
        <v>4</v>
      </c>
      <c r="AB17" t="s">
        <v>185</v>
      </c>
      <c r="AC17" t="s">
        <v>67</v>
      </c>
      <c r="AE17">
        <v>4</v>
      </c>
    </row>
    <row r="18" spans="1:31">
      <c r="A18" t="s">
        <v>186</v>
      </c>
      <c r="B18" t="s">
        <v>187</v>
      </c>
      <c r="C18" t="s">
        <v>188</v>
      </c>
      <c r="D18" t="s">
        <v>56</v>
      </c>
      <c r="E18">
        <v>58</v>
      </c>
      <c r="F18" t="s">
        <v>22</v>
      </c>
      <c r="G18" t="s">
        <v>15</v>
      </c>
      <c r="H18" t="s">
        <v>189</v>
      </c>
      <c r="J18" t="s">
        <v>190</v>
      </c>
      <c r="K18" t="s">
        <v>191</v>
      </c>
      <c r="L18" t="s">
        <v>60</v>
      </c>
      <c r="M18" t="s">
        <v>136</v>
      </c>
      <c r="N18">
        <v>2</v>
      </c>
      <c r="O18">
        <v>70.66</v>
      </c>
      <c r="P18">
        <v>141.32</v>
      </c>
      <c r="Q18">
        <v>0</v>
      </c>
      <c r="R18">
        <v>0</v>
      </c>
      <c r="S18">
        <v>141.32</v>
      </c>
      <c r="T18">
        <v>95.12</v>
      </c>
      <c r="U18">
        <v>46.2</v>
      </c>
      <c r="V18" t="s">
        <v>96</v>
      </c>
      <c r="W18" t="s">
        <v>63</v>
      </c>
      <c r="X18" t="s">
        <v>115</v>
      </c>
      <c r="Y18" t="s">
        <v>65</v>
      </c>
      <c r="Z18">
        <v>0</v>
      </c>
      <c r="AA18">
        <v>5</v>
      </c>
      <c r="AB18" t="s">
        <v>192</v>
      </c>
      <c r="AC18" t="s">
        <v>67</v>
      </c>
      <c r="AE18">
        <v>4</v>
      </c>
    </row>
    <row r="19" spans="1:31">
      <c r="A19" t="s">
        <v>193</v>
      </c>
      <c r="B19" t="s">
        <v>187</v>
      </c>
      <c r="C19" t="s">
        <v>194</v>
      </c>
      <c r="D19" t="s">
        <v>92</v>
      </c>
      <c r="E19">
        <v>30</v>
      </c>
      <c r="F19" t="s">
        <v>22</v>
      </c>
      <c r="G19" t="s">
        <v>19</v>
      </c>
      <c r="H19" t="s">
        <v>148</v>
      </c>
      <c r="J19" t="s">
        <v>149</v>
      </c>
      <c r="K19" t="s">
        <v>195</v>
      </c>
      <c r="L19" t="s">
        <v>196</v>
      </c>
      <c r="M19" t="s">
        <v>197</v>
      </c>
      <c r="N19">
        <v>1</v>
      </c>
      <c r="O19">
        <v>65.72</v>
      </c>
      <c r="P19">
        <v>65.72</v>
      </c>
      <c r="Q19">
        <v>0.15</v>
      </c>
      <c r="R19">
        <v>9.86</v>
      </c>
      <c r="S19">
        <v>55.86</v>
      </c>
      <c r="T19">
        <v>22.7</v>
      </c>
      <c r="U19">
        <v>33.16</v>
      </c>
      <c r="V19" t="s">
        <v>62</v>
      </c>
      <c r="W19" t="s">
        <v>78</v>
      </c>
      <c r="X19" t="s">
        <v>106</v>
      </c>
      <c r="Y19" t="s">
        <v>65</v>
      </c>
      <c r="Z19">
        <v>5.99</v>
      </c>
      <c r="AA19">
        <v>6</v>
      </c>
      <c r="AB19" t="s">
        <v>66</v>
      </c>
      <c r="AC19" t="s">
        <v>67</v>
      </c>
      <c r="AE19">
        <v>4</v>
      </c>
    </row>
    <row r="20" spans="1:31">
      <c r="A20" t="s">
        <v>198</v>
      </c>
      <c r="B20" t="s">
        <v>199</v>
      </c>
      <c r="C20" t="s">
        <v>166</v>
      </c>
      <c r="D20" t="s">
        <v>56</v>
      </c>
      <c r="E20">
        <v>37</v>
      </c>
      <c r="F20" t="s">
        <v>21</v>
      </c>
      <c r="G20" t="s">
        <v>19</v>
      </c>
      <c r="H20" t="s">
        <v>124</v>
      </c>
      <c r="I20" t="s">
        <v>167</v>
      </c>
      <c r="J20" t="s">
        <v>168</v>
      </c>
      <c r="K20" t="s">
        <v>200</v>
      </c>
      <c r="L20" t="s">
        <v>60</v>
      </c>
      <c r="M20" t="s">
        <v>170</v>
      </c>
      <c r="N20">
        <v>3</v>
      </c>
      <c r="O20">
        <v>664.75</v>
      </c>
      <c r="P20">
        <v>1994.25</v>
      </c>
      <c r="Q20">
        <v>0.15</v>
      </c>
      <c r="R20">
        <v>299.14</v>
      </c>
      <c r="S20">
        <v>1695.11</v>
      </c>
      <c r="T20">
        <v>1067.41</v>
      </c>
      <c r="U20">
        <v>627.7</v>
      </c>
      <c r="V20" t="s">
        <v>62</v>
      </c>
      <c r="W20" t="s">
        <v>78</v>
      </c>
      <c r="X20" t="s">
        <v>64</v>
      </c>
      <c r="Y20" t="s">
        <v>107</v>
      </c>
      <c r="Z20">
        <v>12.99</v>
      </c>
      <c r="AA20">
        <v>2</v>
      </c>
      <c r="AB20" t="s">
        <v>97</v>
      </c>
      <c r="AC20" t="s">
        <v>67</v>
      </c>
      <c r="AE20">
        <v>4</v>
      </c>
    </row>
    <row r="21" spans="1:31">
      <c r="A21" t="s">
        <v>201</v>
      </c>
      <c r="B21" t="s">
        <v>202</v>
      </c>
      <c r="C21" t="s">
        <v>203</v>
      </c>
      <c r="D21" t="s">
        <v>110</v>
      </c>
      <c r="E21">
        <v>34</v>
      </c>
      <c r="F21" t="s">
        <v>22</v>
      </c>
      <c r="G21" t="s">
        <v>19</v>
      </c>
      <c r="H21" t="s">
        <v>82</v>
      </c>
      <c r="J21" t="s">
        <v>156</v>
      </c>
      <c r="K21" t="s">
        <v>204</v>
      </c>
      <c r="L21" t="s">
        <v>196</v>
      </c>
      <c r="M21" t="s">
        <v>205</v>
      </c>
      <c r="N21">
        <v>1</v>
      </c>
      <c r="O21">
        <v>199.08</v>
      </c>
      <c r="P21">
        <v>199.08</v>
      </c>
      <c r="Q21">
        <v>0</v>
      </c>
      <c r="R21">
        <v>0</v>
      </c>
      <c r="S21">
        <v>199.08</v>
      </c>
      <c r="T21">
        <v>91.64</v>
      </c>
      <c r="U21">
        <v>107.44</v>
      </c>
      <c r="V21" t="s">
        <v>62</v>
      </c>
      <c r="W21" t="s">
        <v>114</v>
      </c>
      <c r="X21" t="s">
        <v>137</v>
      </c>
      <c r="Y21" t="s">
        <v>65</v>
      </c>
      <c r="Z21">
        <v>0</v>
      </c>
      <c r="AA21">
        <v>5</v>
      </c>
      <c r="AB21" t="s">
        <v>185</v>
      </c>
      <c r="AC21" t="s">
        <v>67</v>
      </c>
      <c r="AE21">
        <v>5</v>
      </c>
    </row>
    <row r="22" spans="1:31">
      <c r="A22" t="s">
        <v>206</v>
      </c>
      <c r="B22" t="s">
        <v>207</v>
      </c>
      <c r="C22" t="s">
        <v>123</v>
      </c>
      <c r="D22" t="s">
        <v>71</v>
      </c>
      <c r="E22">
        <v>41</v>
      </c>
      <c r="F22" t="s">
        <v>22</v>
      </c>
      <c r="G22" t="s">
        <v>19</v>
      </c>
      <c r="H22" t="s">
        <v>124</v>
      </c>
      <c r="I22" t="s">
        <v>125</v>
      </c>
      <c r="J22" t="s">
        <v>126</v>
      </c>
      <c r="K22" t="s">
        <v>208</v>
      </c>
      <c r="L22" t="s">
        <v>196</v>
      </c>
      <c r="M22" t="s">
        <v>209</v>
      </c>
      <c r="N22">
        <v>2</v>
      </c>
      <c r="O22">
        <v>82.38</v>
      </c>
      <c r="P22">
        <v>164.76</v>
      </c>
      <c r="Q22">
        <v>0</v>
      </c>
      <c r="R22">
        <v>0</v>
      </c>
      <c r="S22">
        <v>164.76</v>
      </c>
      <c r="T22">
        <v>81.75</v>
      </c>
      <c r="U22">
        <v>83.01</v>
      </c>
      <c r="V22" t="s">
        <v>62</v>
      </c>
      <c r="W22" t="s">
        <v>114</v>
      </c>
      <c r="X22" t="s">
        <v>64</v>
      </c>
      <c r="Y22" t="s">
        <v>65</v>
      </c>
      <c r="Z22">
        <v>0</v>
      </c>
      <c r="AA22">
        <v>7</v>
      </c>
      <c r="AB22" t="s">
        <v>66</v>
      </c>
      <c r="AC22" t="s">
        <v>67</v>
      </c>
      <c r="AE22">
        <v>5</v>
      </c>
    </row>
    <row r="23" spans="1:31">
      <c r="A23" t="s">
        <v>210</v>
      </c>
      <c r="B23" t="s">
        <v>211</v>
      </c>
      <c r="C23" t="s">
        <v>212</v>
      </c>
      <c r="D23" t="s">
        <v>71</v>
      </c>
      <c r="E23">
        <v>38</v>
      </c>
      <c r="F23" t="s">
        <v>21</v>
      </c>
      <c r="G23" t="s">
        <v>15</v>
      </c>
      <c r="H23" t="s">
        <v>189</v>
      </c>
      <c r="J23" t="s">
        <v>190</v>
      </c>
      <c r="K23" t="s">
        <v>213</v>
      </c>
      <c r="L23" t="s">
        <v>214</v>
      </c>
      <c r="M23" t="s">
        <v>215</v>
      </c>
      <c r="N23">
        <v>1</v>
      </c>
      <c r="O23">
        <v>16.28</v>
      </c>
      <c r="P23">
        <v>16.28</v>
      </c>
      <c r="Q23">
        <v>0.15</v>
      </c>
      <c r="R23">
        <v>2.44</v>
      </c>
      <c r="S23">
        <v>13.84</v>
      </c>
      <c r="T23">
        <v>6.24</v>
      </c>
      <c r="U23">
        <v>7.6</v>
      </c>
      <c r="V23" t="s">
        <v>96</v>
      </c>
      <c r="W23" t="s">
        <v>63</v>
      </c>
      <c r="X23" t="s">
        <v>64</v>
      </c>
      <c r="Y23" t="s">
        <v>65</v>
      </c>
      <c r="Z23">
        <v>5.99</v>
      </c>
      <c r="AA23">
        <v>4</v>
      </c>
      <c r="AB23" t="s">
        <v>192</v>
      </c>
      <c r="AC23" t="s">
        <v>67</v>
      </c>
      <c r="AE23">
        <v>5</v>
      </c>
    </row>
    <row r="24" spans="1:31">
      <c r="A24" t="s">
        <v>216</v>
      </c>
      <c r="B24" t="s">
        <v>211</v>
      </c>
      <c r="C24" t="s">
        <v>217</v>
      </c>
      <c r="D24" t="s">
        <v>110</v>
      </c>
      <c r="E24">
        <v>24</v>
      </c>
      <c r="F24" t="s">
        <v>22</v>
      </c>
      <c r="G24" t="s">
        <v>17</v>
      </c>
      <c r="H24" t="s">
        <v>218</v>
      </c>
      <c r="J24" t="s">
        <v>219</v>
      </c>
      <c r="K24" t="s">
        <v>220</v>
      </c>
      <c r="L24" t="s">
        <v>60</v>
      </c>
      <c r="M24" t="s">
        <v>61</v>
      </c>
      <c r="N24">
        <v>1</v>
      </c>
      <c r="O24">
        <v>124.45</v>
      </c>
      <c r="P24">
        <v>124.45</v>
      </c>
      <c r="Q24">
        <v>0</v>
      </c>
      <c r="R24">
        <v>0</v>
      </c>
      <c r="S24">
        <v>124.45</v>
      </c>
      <c r="T24">
        <v>86.28</v>
      </c>
      <c r="U24">
        <v>38.17</v>
      </c>
      <c r="V24" t="s">
        <v>221</v>
      </c>
      <c r="W24" t="s">
        <v>114</v>
      </c>
      <c r="X24" t="s">
        <v>115</v>
      </c>
      <c r="Y24" t="s">
        <v>65</v>
      </c>
      <c r="Z24">
        <v>0</v>
      </c>
      <c r="AA24">
        <v>6</v>
      </c>
      <c r="AB24" t="s">
        <v>192</v>
      </c>
      <c r="AC24" t="s">
        <v>67</v>
      </c>
      <c r="AE24">
        <v>4</v>
      </c>
    </row>
    <row r="25" spans="1:31">
      <c r="A25" t="s">
        <v>222</v>
      </c>
      <c r="B25" t="s">
        <v>223</v>
      </c>
      <c r="C25" t="s">
        <v>224</v>
      </c>
      <c r="D25" t="s">
        <v>92</v>
      </c>
      <c r="E25">
        <v>51</v>
      </c>
      <c r="F25" t="s">
        <v>21</v>
      </c>
      <c r="G25" t="s">
        <v>19</v>
      </c>
      <c r="H25" t="s">
        <v>82</v>
      </c>
      <c r="J25" t="s">
        <v>83</v>
      </c>
      <c r="K25" t="s">
        <v>225</v>
      </c>
      <c r="L25" t="s">
        <v>85</v>
      </c>
      <c r="M25" t="s">
        <v>226</v>
      </c>
      <c r="N25">
        <v>1</v>
      </c>
      <c r="O25">
        <v>960.58</v>
      </c>
      <c r="P25">
        <v>960.58</v>
      </c>
      <c r="Q25">
        <v>0.2</v>
      </c>
      <c r="R25">
        <v>192.12</v>
      </c>
      <c r="S25">
        <v>768.46</v>
      </c>
      <c r="T25">
        <v>650.42</v>
      </c>
      <c r="U25">
        <v>118.04</v>
      </c>
      <c r="V25" t="s">
        <v>77</v>
      </c>
      <c r="W25" t="s">
        <v>78</v>
      </c>
      <c r="X25" t="s">
        <v>144</v>
      </c>
      <c r="Y25" t="s">
        <v>107</v>
      </c>
      <c r="Z25">
        <v>12.99</v>
      </c>
      <c r="AA25">
        <v>2</v>
      </c>
      <c r="AB25" t="s">
        <v>97</v>
      </c>
      <c r="AC25" t="s">
        <v>67</v>
      </c>
      <c r="AE25">
        <v>4</v>
      </c>
    </row>
    <row r="26" spans="1:31">
      <c r="A26" t="s">
        <v>227</v>
      </c>
      <c r="B26" t="s">
        <v>223</v>
      </c>
      <c r="C26" t="s">
        <v>228</v>
      </c>
      <c r="D26" t="s">
        <v>71</v>
      </c>
      <c r="E26">
        <v>22</v>
      </c>
      <c r="F26" t="s">
        <v>21</v>
      </c>
      <c r="G26" t="s">
        <v>19</v>
      </c>
      <c r="H26" t="s">
        <v>82</v>
      </c>
      <c r="J26" t="s">
        <v>229</v>
      </c>
      <c r="K26" t="s">
        <v>230</v>
      </c>
      <c r="L26" t="s">
        <v>214</v>
      </c>
      <c r="M26" t="s">
        <v>231</v>
      </c>
      <c r="N26">
        <v>1</v>
      </c>
      <c r="O26">
        <v>72.48</v>
      </c>
      <c r="P26">
        <v>72.48</v>
      </c>
      <c r="Q26">
        <v>0</v>
      </c>
      <c r="R26">
        <v>0</v>
      </c>
      <c r="S26">
        <v>72.48</v>
      </c>
      <c r="T26">
        <v>28.36</v>
      </c>
      <c r="U26">
        <v>44.12</v>
      </c>
      <c r="V26" t="s">
        <v>62</v>
      </c>
      <c r="W26" t="s">
        <v>78</v>
      </c>
      <c r="X26" t="s">
        <v>64</v>
      </c>
      <c r="Y26" t="s">
        <v>65</v>
      </c>
      <c r="Z26">
        <v>5.99</v>
      </c>
      <c r="AA26">
        <v>7</v>
      </c>
      <c r="AB26" t="s">
        <v>185</v>
      </c>
      <c r="AC26" t="s">
        <v>67</v>
      </c>
      <c r="AE26">
        <v>1</v>
      </c>
    </row>
    <row r="27" spans="1:31">
      <c r="A27" t="s">
        <v>232</v>
      </c>
      <c r="B27" t="s">
        <v>233</v>
      </c>
      <c r="C27" t="s">
        <v>234</v>
      </c>
      <c r="D27" t="s">
        <v>71</v>
      </c>
      <c r="E27">
        <v>27</v>
      </c>
      <c r="F27" t="s">
        <v>21</v>
      </c>
      <c r="G27" t="s">
        <v>19</v>
      </c>
      <c r="H27" t="s">
        <v>148</v>
      </c>
      <c r="J27" t="s">
        <v>235</v>
      </c>
      <c r="K27" t="s">
        <v>236</v>
      </c>
      <c r="L27" t="s">
        <v>85</v>
      </c>
      <c r="M27" t="s">
        <v>113</v>
      </c>
      <c r="N27">
        <v>1</v>
      </c>
      <c r="O27">
        <v>107.76</v>
      </c>
      <c r="P27">
        <v>107.76</v>
      </c>
      <c r="Q27">
        <v>0.05</v>
      </c>
      <c r="R27">
        <v>5.39</v>
      </c>
      <c r="S27">
        <v>102.37</v>
      </c>
      <c r="T27">
        <v>80.25</v>
      </c>
      <c r="U27">
        <v>22.12</v>
      </c>
      <c r="V27" t="s">
        <v>62</v>
      </c>
      <c r="W27" t="s">
        <v>78</v>
      </c>
      <c r="X27" t="s">
        <v>137</v>
      </c>
      <c r="Y27" t="s">
        <v>107</v>
      </c>
      <c r="Z27">
        <v>12.99</v>
      </c>
      <c r="AA27">
        <v>3</v>
      </c>
      <c r="AB27" t="s">
        <v>97</v>
      </c>
      <c r="AC27" t="s">
        <v>67</v>
      </c>
      <c r="AE27">
        <v>5</v>
      </c>
    </row>
    <row r="28" spans="1:31">
      <c r="A28" t="s">
        <v>237</v>
      </c>
      <c r="B28" t="s">
        <v>238</v>
      </c>
      <c r="C28" t="s">
        <v>239</v>
      </c>
      <c r="D28" t="s">
        <v>110</v>
      </c>
      <c r="E28">
        <v>39</v>
      </c>
      <c r="F28" t="s">
        <v>21</v>
      </c>
      <c r="G28" t="s">
        <v>16</v>
      </c>
      <c r="H28" t="s">
        <v>57</v>
      </c>
      <c r="J28" t="s">
        <v>240</v>
      </c>
      <c r="K28" t="s">
        <v>241</v>
      </c>
      <c r="L28" t="s">
        <v>196</v>
      </c>
      <c r="M28" t="s">
        <v>242</v>
      </c>
      <c r="N28">
        <v>4</v>
      </c>
      <c r="O28">
        <v>16.41</v>
      </c>
      <c r="P28">
        <v>65.64</v>
      </c>
      <c r="Q28">
        <v>0.25</v>
      </c>
      <c r="R28">
        <v>16.41</v>
      </c>
      <c r="S28">
        <v>49.23</v>
      </c>
      <c r="T28">
        <v>24.54</v>
      </c>
      <c r="U28">
        <v>24.69</v>
      </c>
      <c r="V28" t="s">
        <v>62</v>
      </c>
      <c r="W28" t="s">
        <v>78</v>
      </c>
      <c r="X28" t="s">
        <v>64</v>
      </c>
      <c r="Y28" t="s">
        <v>65</v>
      </c>
      <c r="Z28">
        <v>5.99</v>
      </c>
      <c r="AA28">
        <v>5</v>
      </c>
      <c r="AB28" t="s">
        <v>164</v>
      </c>
      <c r="AC28" t="s">
        <v>67</v>
      </c>
      <c r="AE28">
        <v>5</v>
      </c>
    </row>
    <row r="29" spans="1:31">
      <c r="A29" t="s">
        <v>243</v>
      </c>
      <c r="B29" t="s">
        <v>244</v>
      </c>
      <c r="C29" t="s">
        <v>245</v>
      </c>
      <c r="D29" t="s">
        <v>110</v>
      </c>
      <c r="E29">
        <v>35</v>
      </c>
      <c r="F29" t="s">
        <v>21</v>
      </c>
      <c r="G29" t="s">
        <v>17</v>
      </c>
      <c r="H29" t="s">
        <v>101</v>
      </c>
      <c r="J29" t="s">
        <v>102</v>
      </c>
      <c r="K29" t="s">
        <v>246</v>
      </c>
      <c r="L29" t="s">
        <v>60</v>
      </c>
      <c r="M29" t="s">
        <v>170</v>
      </c>
      <c r="N29">
        <v>1</v>
      </c>
      <c r="O29">
        <v>486.55</v>
      </c>
      <c r="P29">
        <v>486.55</v>
      </c>
      <c r="Q29">
        <v>0.05</v>
      </c>
      <c r="R29">
        <v>24.33</v>
      </c>
      <c r="S29">
        <v>462.22</v>
      </c>
      <c r="T29">
        <v>277.79</v>
      </c>
      <c r="U29">
        <v>184.43</v>
      </c>
      <c r="V29" t="s">
        <v>77</v>
      </c>
      <c r="W29" t="s">
        <v>78</v>
      </c>
      <c r="X29" t="s">
        <v>137</v>
      </c>
      <c r="Y29" t="s">
        <v>65</v>
      </c>
      <c r="Z29">
        <v>0</v>
      </c>
      <c r="AA29">
        <v>5</v>
      </c>
      <c r="AB29" t="s">
        <v>247</v>
      </c>
      <c r="AC29" t="s">
        <v>67</v>
      </c>
      <c r="AE29">
        <v>5</v>
      </c>
    </row>
    <row r="30" spans="1:31">
      <c r="A30" t="s">
        <v>248</v>
      </c>
      <c r="B30" t="s">
        <v>244</v>
      </c>
      <c r="C30" t="s">
        <v>249</v>
      </c>
      <c r="D30" t="s">
        <v>110</v>
      </c>
      <c r="E30">
        <v>19</v>
      </c>
      <c r="F30" t="s">
        <v>22</v>
      </c>
      <c r="G30" t="s">
        <v>16</v>
      </c>
      <c r="H30" t="s">
        <v>250</v>
      </c>
      <c r="J30" t="s">
        <v>251</v>
      </c>
      <c r="K30" t="s">
        <v>252</v>
      </c>
      <c r="L30" t="s">
        <v>104</v>
      </c>
      <c r="M30" t="s">
        <v>105</v>
      </c>
      <c r="N30">
        <v>1</v>
      </c>
      <c r="O30">
        <v>49.99</v>
      </c>
      <c r="P30">
        <v>49.99</v>
      </c>
      <c r="Q30">
        <v>0.05</v>
      </c>
      <c r="R30">
        <v>2.5</v>
      </c>
      <c r="S30">
        <v>47.49</v>
      </c>
      <c r="T30">
        <v>27.95</v>
      </c>
      <c r="U30">
        <v>19.54</v>
      </c>
      <c r="V30" t="s">
        <v>62</v>
      </c>
      <c r="W30" t="s">
        <v>78</v>
      </c>
      <c r="X30" t="s">
        <v>144</v>
      </c>
      <c r="Y30" t="s">
        <v>253</v>
      </c>
      <c r="Z30">
        <v>19.99</v>
      </c>
      <c r="AA30">
        <v>1</v>
      </c>
      <c r="AB30" t="s">
        <v>247</v>
      </c>
      <c r="AC30" t="s">
        <v>67</v>
      </c>
      <c r="AE30">
        <v>5</v>
      </c>
    </row>
    <row r="31" spans="1:31">
      <c r="A31" t="s">
        <v>254</v>
      </c>
      <c r="B31" t="s">
        <v>255</v>
      </c>
      <c r="C31" t="s">
        <v>256</v>
      </c>
      <c r="D31" t="s">
        <v>110</v>
      </c>
      <c r="E31">
        <v>26</v>
      </c>
      <c r="F31" t="s">
        <v>21</v>
      </c>
      <c r="G31" t="s">
        <v>19</v>
      </c>
      <c r="H31" t="s">
        <v>124</v>
      </c>
      <c r="I31" t="s">
        <v>257</v>
      </c>
      <c r="J31" t="s">
        <v>126</v>
      </c>
      <c r="K31" t="s">
        <v>220</v>
      </c>
      <c r="L31" t="s">
        <v>60</v>
      </c>
      <c r="M31" t="s">
        <v>61</v>
      </c>
      <c r="N31">
        <v>1</v>
      </c>
      <c r="O31">
        <v>130.69</v>
      </c>
      <c r="P31">
        <v>130.69</v>
      </c>
      <c r="Q31">
        <v>0.2</v>
      </c>
      <c r="R31">
        <v>26.14</v>
      </c>
      <c r="S31">
        <v>104.55</v>
      </c>
      <c r="T31">
        <v>56.57</v>
      </c>
      <c r="U31">
        <v>47.98</v>
      </c>
      <c r="V31" t="s">
        <v>62</v>
      </c>
      <c r="W31" t="s">
        <v>63</v>
      </c>
      <c r="X31" t="s">
        <v>144</v>
      </c>
      <c r="Y31" t="s">
        <v>65</v>
      </c>
      <c r="Z31">
        <v>0</v>
      </c>
      <c r="AA31">
        <v>6</v>
      </c>
      <c r="AB31" t="s">
        <v>88</v>
      </c>
      <c r="AC31" t="s">
        <v>67</v>
      </c>
      <c r="AE31">
        <v>5</v>
      </c>
    </row>
    <row r="32" spans="1:31">
      <c r="A32" t="s">
        <v>258</v>
      </c>
      <c r="B32" t="s">
        <v>259</v>
      </c>
      <c r="C32" t="s">
        <v>260</v>
      </c>
      <c r="D32" t="s">
        <v>56</v>
      </c>
      <c r="E32">
        <v>27</v>
      </c>
      <c r="F32" t="s">
        <v>21</v>
      </c>
      <c r="G32" t="s">
        <v>19</v>
      </c>
      <c r="H32" t="s">
        <v>148</v>
      </c>
      <c r="J32" t="s">
        <v>235</v>
      </c>
      <c r="K32" t="s">
        <v>261</v>
      </c>
      <c r="L32" t="s">
        <v>177</v>
      </c>
      <c r="M32" t="s">
        <v>262</v>
      </c>
      <c r="N32">
        <v>4</v>
      </c>
      <c r="O32">
        <v>71.72</v>
      </c>
      <c r="P32">
        <v>286.88</v>
      </c>
      <c r="Q32">
        <v>0.2</v>
      </c>
      <c r="R32">
        <v>57.38</v>
      </c>
      <c r="S32">
        <v>229.5</v>
      </c>
      <c r="T32">
        <v>128.08</v>
      </c>
      <c r="U32">
        <v>101.42</v>
      </c>
      <c r="V32" t="s">
        <v>77</v>
      </c>
      <c r="W32" t="s">
        <v>78</v>
      </c>
      <c r="X32" t="s">
        <v>144</v>
      </c>
      <c r="Y32" t="s">
        <v>107</v>
      </c>
      <c r="Z32">
        <v>12.99</v>
      </c>
      <c r="AA32">
        <v>2</v>
      </c>
      <c r="AB32" t="s">
        <v>164</v>
      </c>
      <c r="AC32" t="s">
        <v>67</v>
      </c>
      <c r="AE32">
        <v>4</v>
      </c>
    </row>
    <row r="33" spans="1:31">
      <c r="A33" t="s">
        <v>263</v>
      </c>
      <c r="B33" t="s">
        <v>259</v>
      </c>
      <c r="C33" t="s">
        <v>264</v>
      </c>
      <c r="D33" t="s">
        <v>92</v>
      </c>
      <c r="E33">
        <v>18</v>
      </c>
      <c r="F33" t="s">
        <v>21</v>
      </c>
      <c r="G33" t="s">
        <v>19</v>
      </c>
      <c r="H33" t="s">
        <v>148</v>
      </c>
      <c r="J33" t="s">
        <v>265</v>
      </c>
      <c r="K33" t="s">
        <v>94</v>
      </c>
      <c r="L33" t="s">
        <v>85</v>
      </c>
      <c r="M33" t="s">
        <v>95</v>
      </c>
      <c r="N33">
        <v>2</v>
      </c>
      <c r="O33">
        <v>298.12</v>
      </c>
      <c r="P33">
        <v>596.24</v>
      </c>
      <c r="Q33">
        <v>0.1</v>
      </c>
      <c r="R33">
        <v>59.62</v>
      </c>
      <c r="S33">
        <v>536.62</v>
      </c>
      <c r="T33">
        <v>460.85</v>
      </c>
      <c r="U33">
        <v>75.77</v>
      </c>
      <c r="V33" t="s">
        <v>77</v>
      </c>
      <c r="W33" t="s">
        <v>78</v>
      </c>
      <c r="X33" t="s">
        <v>64</v>
      </c>
      <c r="Y33" t="s">
        <v>253</v>
      </c>
      <c r="Z33">
        <v>19.99</v>
      </c>
      <c r="AA33">
        <v>1</v>
      </c>
      <c r="AB33" t="s">
        <v>247</v>
      </c>
      <c r="AC33" t="s">
        <v>67</v>
      </c>
      <c r="AE33">
        <v>5</v>
      </c>
    </row>
    <row r="34" spans="1:31">
      <c r="A34" t="s">
        <v>266</v>
      </c>
      <c r="B34" t="s">
        <v>267</v>
      </c>
      <c r="C34" t="s">
        <v>268</v>
      </c>
      <c r="D34" t="s">
        <v>92</v>
      </c>
      <c r="E34">
        <v>50</v>
      </c>
      <c r="F34" t="s">
        <v>22</v>
      </c>
      <c r="G34" t="s">
        <v>18</v>
      </c>
      <c r="H34" t="s">
        <v>141</v>
      </c>
      <c r="J34" t="s">
        <v>142</v>
      </c>
      <c r="K34" t="s">
        <v>269</v>
      </c>
      <c r="L34" t="s">
        <v>177</v>
      </c>
      <c r="M34" t="s">
        <v>270</v>
      </c>
      <c r="N34">
        <v>1</v>
      </c>
      <c r="O34">
        <v>132.52</v>
      </c>
      <c r="P34">
        <v>132.52</v>
      </c>
      <c r="Q34">
        <v>0</v>
      </c>
      <c r="R34">
        <v>0</v>
      </c>
      <c r="S34">
        <v>132.52</v>
      </c>
      <c r="T34">
        <v>87.79</v>
      </c>
      <c r="U34">
        <v>44.73</v>
      </c>
      <c r="V34" t="s">
        <v>62</v>
      </c>
      <c r="W34" t="s">
        <v>78</v>
      </c>
      <c r="X34" t="s">
        <v>64</v>
      </c>
      <c r="Y34" t="s">
        <v>107</v>
      </c>
      <c r="Z34">
        <v>12.99</v>
      </c>
      <c r="AA34">
        <v>2</v>
      </c>
      <c r="AB34" t="s">
        <v>66</v>
      </c>
      <c r="AC34" t="s">
        <v>271</v>
      </c>
      <c r="AD34" t="s">
        <v>272</v>
      </c>
    </row>
    <row r="35" spans="1:31">
      <c r="A35" t="s">
        <v>273</v>
      </c>
      <c r="B35" t="s">
        <v>274</v>
      </c>
      <c r="C35" t="s">
        <v>275</v>
      </c>
      <c r="D35" t="s">
        <v>110</v>
      </c>
      <c r="E35">
        <v>30</v>
      </c>
      <c r="F35" t="s">
        <v>21</v>
      </c>
      <c r="G35" t="s">
        <v>16</v>
      </c>
      <c r="H35" t="s">
        <v>119</v>
      </c>
      <c r="J35" t="s">
        <v>276</v>
      </c>
      <c r="K35" t="s">
        <v>103</v>
      </c>
      <c r="L35" t="s">
        <v>104</v>
      </c>
      <c r="M35" t="s">
        <v>105</v>
      </c>
      <c r="N35">
        <v>1</v>
      </c>
      <c r="O35">
        <v>364.27</v>
      </c>
      <c r="P35">
        <v>364.27</v>
      </c>
      <c r="Q35">
        <v>0</v>
      </c>
      <c r="R35">
        <v>0</v>
      </c>
      <c r="S35">
        <v>364.27</v>
      </c>
      <c r="T35">
        <v>237.03</v>
      </c>
      <c r="U35">
        <v>127.24</v>
      </c>
      <c r="V35" t="s">
        <v>62</v>
      </c>
      <c r="W35" t="s">
        <v>114</v>
      </c>
      <c r="X35" t="s">
        <v>137</v>
      </c>
      <c r="Y35" t="s">
        <v>253</v>
      </c>
      <c r="Z35">
        <v>19.99</v>
      </c>
      <c r="AA35">
        <v>1</v>
      </c>
      <c r="AB35" t="s">
        <v>66</v>
      </c>
      <c r="AC35" t="s">
        <v>67</v>
      </c>
      <c r="AE35">
        <v>5</v>
      </c>
    </row>
    <row r="36" spans="1:31">
      <c r="A36" t="s">
        <v>277</v>
      </c>
      <c r="B36" t="s">
        <v>278</v>
      </c>
      <c r="C36" t="s">
        <v>279</v>
      </c>
      <c r="D36" t="s">
        <v>56</v>
      </c>
      <c r="E36">
        <v>30</v>
      </c>
      <c r="F36" t="s">
        <v>22</v>
      </c>
      <c r="G36" t="s">
        <v>17</v>
      </c>
      <c r="H36" t="s">
        <v>218</v>
      </c>
      <c r="J36" t="s">
        <v>219</v>
      </c>
      <c r="K36" t="s">
        <v>280</v>
      </c>
      <c r="L36" t="s">
        <v>60</v>
      </c>
      <c r="M36" t="s">
        <v>170</v>
      </c>
      <c r="N36">
        <v>2</v>
      </c>
      <c r="O36">
        <v>112.05</v>
      </c>
      <c r="P36">
        <v>224.1</v>
      </c>
      <c r="Q36">
        <v>0</v>
      </c>
      <c r="R36">
        <v>0</v>
      </c>
      <c r="S36">
        <v>224.1</v>
      </c>
      <c r="T36">
        <v>143.13</v>
      </c>
      <c r="U36">
        <v>80.97</v>
      </c>
      <c r="V36" t="s">
        <v>96</v>
      </c>
      <c r="W36" t="s">
        <v>114</v>
      </c>
      <c r="X36" t="s">
        <v>137</v>
      </c>
      <c r="Y36" t="s">
        <v>65</v>
      </c>
      <c r="Z36">
        <v>0</v>
      </c>
      <c r="AA36">
        <v>4</v>
      </c>
      <c r="AB36" t="s">
        <v>281</v>
      </c>
      <c r="AC36" t="s">
        <v>67</v>
      </c>
    </row>
    <row r="37" spans="1:31">
      <c r="A37" t="s">
        <v>282</v>
      </c>
      <c r="B37" t="s">
        <v>283</v>
      </c>
      <c r="C37" t="s">
        <v>284</v>
      </c>
      <c r="D37" t="s">
        <v>92</v>
      </c>
      <c r="E37">
        <v>21</v>
      </c>
      <c r="F37" t="s">
        <v>21</v>
      </c>
      <c r="G37" t="s">
        <v>16</v>
      </c>
      <c r="H37" t="s">
        <v>57</v>
      </c>
      <c r="J37" t="s">
        <v>285</v>
      </c>
      <c r="K37" t="s">
        <v>286</v>
      </c>
      <c r="L37" t="s">
        <v>75</v>
      </c>
      <c r="M37" t="s">
        <v>287</v>
      </c>
      <c r="N37">
        <v>2</v>
      </c>
      <c r="O37">
        <v>28.12</v>
      </c>
      <c r="P37">
        <v>56.24</v>
      </c>
      <c r="Q37">
        <v>0</v>
      </c>
      <c r="R37">
        <v>0</v>
      </c>
      <c r="S37">
        <v>56.24</v>
      </c>
      <c r="T37">
        <v>39.91</v>
      </c>
      <c r="U37">
        <v>16.33</v>
      </c>
      <c r="V37" t="s">
        <v>96</v>
      </c>
      <c r="W37" t="s">
        <v>78</v>
      </c>
      <c r="X37" t="s">
        <v>144</v>
      </c>
      <c r="Y37" t="s">
        <v>65</v>
      </c>
      <c r="Z37">
        <v>5.99</v>
      </c>
      <c r="AA37">
        <v>5</v>
      </c>
      <c r="AB37" t="s">
        <v>192</v>
      </c>
      <c r="AC37" t="s">
        <v>67</v>
      </c>
    </row>
    <row r="38" spans="1:31">
      <c r="A38" t="s">
        <v>288</v>
      </c>
      <c r="B38" t="s">
        <v>289</v>
      </c>
      <c r="C38" t="s">
        <v>290</v>
      </c>
      <c r="D38" t="s">
        <v>92</v>
      </c>
      <c r="E38">
        <v>21</v>
      </c>
      <c r="F38" t="s">
        <v>21</v>
      </c>
      <c r="G38" t="s">
        <v>19</v>
      </c>
      <c r="H38" t="s">
        <v>148</v>
      </c>
      <c r="J38" t="s">
        <v>182</v>
      </c>
      <c r="K38" t="s">
        <v>291</v>
      </c>
      <c r="L38" t="s">
        <v>60</v>
      </c>
      <c r="M38" t="s">
        <v>128</v>
      </c>
      <c r="N38">
        <v>2</v>
      </c>
      <c r="O38">
        <v>108.25</v>
      </c>
      <c r="P38">
        <v>216.5</v>
      </c>
      <c r="Q38">
        <v>0.15</v>
      </c>
      <c r="R38">
        <v>32.48</v>
      </c>
      <c r="S38">
        <v>184.02</v>
      </c>
      <c r="T38">
        <v>100.99</v>
      </c>
      <c r="U38">
        <v>83.03</v>
      </c>
      <c r="V38" t="s">
        <v>62</v>
      </c>
      <c r="W38" t="s">
        <v>114</v>
      </c>
      <c r="X38" t="s">
        <v>64</v>
      </c>
      <c r="Y38" t="s">
        <v>65</v>
      </c>
      <c r="Z38">
        <v>0</v>
      </c>
      <c r="AA38">
        <v>6</v>
      </c>
      <c r="AB38" t="s">
        <v>192</v>
      </c>
      <c r="AC38" t="s">
        <v>67</v>
      </c>
      <c r="AE38">
        <v>5</v>
      </c>
    </row>
    <row r="39" spans="1:31">
      <c r="A39" t="s">
        <v>292</v>
      </c>
      <c r="B39" t="s">
        <v>293</v>
      </c>
      <c r="C39" t="s">
        <v>294</v>
      </c>
      <c r="D39" t="s">
        <v>110</v>
      </c>
      <c r="E39">
        <v>36</v>
      </c>
      <c r="F39" t="s">
        <v>21</v>
      </c>
      <c r="G39" t="s">
        <v>19</v>
      </c>
      <c r="H39" t="s">
        <v>124</v>
      </c>
      <c r="I39" t="s">
        <v>167</v>
      </c>
      <c r="J39" t="s">
        <v>295</v>
      </c>
      <c r="K39" t="s">
        <v>296</v>
      </c>
      <c r="L39" t="s">
        <v>60</v>
      </c>
      <c r="M39" t="s">
        <v>128</v>
      </c>
      <c r="N39">
        <v>2</v>
      </c>
      <c r="O39">
        <v>87.21</v>
      </c>
      <c r="P39">
        <v>174.42</v>
      </c>
      <c r="Q39">
        <v>0</v>
      </c>
      <c r="R39">
        <v>0</v>
      </c>
      <c r="S39">
        <v>174.42</v>
      </c>
      <c r="T39">
        <v>102.79</v>
      </c>
      <c r="U39">
        <v>71.63</v>
      </c>
      <c r="V39" t="s">
        <v>77</v>
      </c>
      <c r="W39" t="s">
        <v>78</v>
      </c>
      <c r="X39" t="s">
        <v>137</v>
      </c>
      <c r="Y39" t="s">
        <v>107</v>
      </c>
      <c r="Z39">
        <v>12.99</v>
      </c>
      <c r="AA39">
        <v>3</v>
      </c>
      <c r="AB39" t="s">
        <v>66</v>
      </c>
      <c r="AC39" t="s">
        <v>67</v>
      </c>
      <c r="AE39">
        <v>5</v>
      </c>
    </row>
    <row r="40" spans="1:31">
      <c r="A40" t="s">
        <v>297</v>
      </c>
      <c r="B40" t="s">
        <v>298</v>
      </c>
      <c r="C40" t="s">
        <v>299</v>
      </c>
      <c r="D40" t="s">
        <v>92</v>
      </c>
      <c r="E40">
        <v>55</v>
      </c>
      <c r="F40" t="s">
        <v>23</v>
      </c>
      <c r="G40" t="s">
        <v>16</v>
      </c>
      <c r="H40" t="s">
        <v>300</v>
      </c>
      <c r="J40" t="s">
        <v>301</v>
      </c>
      <c r="K40" t="s">
        <v>94</v>
      </c>
      <c r="L40" t="s">
        <v>85</v>
      </c>
      <c r="M40" t="s">
        <v>95</v>
      </c>
      <c r="N40">
        <v>1</v>
      </c>
      <c r="O40">
        <v>133.64</v>
      </c>
      <c r="P40">
        <v>133.64</v>
      </c>
      <c r="Q40">
        <v>0.15</v>
      </c>
      <c r="R40">
        <v>20.05</v>
      </c>
      <c r="S40">
        <v>113.59</v>
      </c>
      <c r="T40">
        <v>82.78</v>
      </c>
      <c r="U40">
        <v>30.81</v>
      </c>
      <c r="V40" t="s">
        <v>77</v>
      </c>
      <c r="W40" t="s">
        <v>78</v>
      </c>
      <c r="X40" t="s">
        <v>137</v>
      </c>
      <c r="Y40" t="s">
        <v>65</v>
      </c>
      <c r="Z40">
        <v>0</v>
      </c>
      <c r="AA40">
        <v>5</v>
      </c>
      <c r="AB40" t="s">
        <v>247</v>
      </c>
      <c r="AC40" t="s">
        <v>67</v>
      </c>
      <c r="AE40">
        <v>5</v>
      </c>
    </row>
    <row r="41" spans="1:31">
      <c r="A41" t="s">
        <v>302</v>
      </c>
      <c r="B41" t="s">
        <v>303</v>
      </c>
      <c r="C41" t="s">
        <v>118</v>
      </c>
      <c r="D41" t="s">
        <v>71</v>
      </c>
      <c r="E41">
        <v>43</v>
      </c>
      <c r="F41" t="s">
        <v>21</v>
      </c>
      <c r="G41" t="s">
        <v>16</v>
      </c>
      <c r="H41" t="s">
        <v>119</v>
      </c>
      <c r="J41" t="s">
        <v>120</v>
      </c>
      <c r="K41" t="s">
        <v>59</v>
      </c>
      <c r="L41" t="s">
        <v>60</v>
      </c>
      <c r="M41" t="s">
        <v>61</v>
      </c>
      <c r="N41">
        <v>3</v>
      </c>
      <c r="O41">
        <v>26.51</v>
      </c>
      <c r="P41">
        <v>79.53</v>
      </c>
      <c r="Q41">
        <v>0</v>
      </c>
      <c r="R41">
        <v>0</v>
      </c>
      <c r="S41">
        <v>79.53</v>
      </c>
      <c r="T41">
        <v>44.09</v>
      </c>
      <c r="U41">
        <v>35.44</v>
      </c>
      <c r="V41" t="s">
        <v>304</v>
      </c>
      <c r="W41" t="s">
        <v>114</v>
      </c>
      <c r="X41" t="s">
        <v>64</v>
      </c>
      <c r="Y41" t="s">
        <v>305</v>
      </c>
      <c r="Z41">
        <v>0</v>
      </c>
      <c r="AA41">
        <v>8</v>
      </c>
      <c r="AB41" t="s">
        <v>66</v>
      </c>
      <c r="AC41" t="s">
        <v>67</v>
      </c>
    </row>
    <row r="42" spans="1:31">
      <c r="A42" t="s">
        <v>306</v>
      </c>
      <c r="B42" t="s">
        <v>303</v>
      </c>
      <c r="C42" t="s">
        <v>294</v>
      </c>
      <c r="D42" t="s">
        <v>92</v>
      </c>
      <c r="E42">
        <v>36</v>
      </c>
      <c r="F42" t="s">
        <v>21</v>
      </c>
      <c r="G42" t="s">
        <v>19</v>
      </c>
      <c r="H42" t="s">
        <v>124</v>
      </c>
      <c r="I42" t="s">
        <v>167</v>
      </c>
      <c r="J42" t="s">
        <v>295</v>
      </c>
      <c r="K42" t="s">
        <v>236</v>
      </c>
      <c r="L42" t="s">
        <v>85</v>
      </c>
      <c r="M42" t="s">
        <v>113</v>
      </c>
      <c r="N42">
        <v>1</v>
      </c>
      <c r="O42">
        <v>524.37</v>
      </c>
      <c r="P42">
        <v>524.37</v>
      </c>
      <c r="Q42">
        <v>0</v>
      </c>
      <c r="R42">
        <v>0</v>
      </c>
      <c r="S42">
        <v>524.37</v>
      </c>
      <c r="T42">
        <v>439.89</v>
      </c>
      <c r="U42">
        <v>84.48</v>
      </c>
      <c r="V42" t="s">
        <v>62</v>
      </c>
      <c r="W42" t="s">
        <v>78</v>
      </c>
      <c r="X42" t="s">
        <v>115</v>
      </c>
      <c r="Y42" t="s">
        <v>307</v>
      </c>
      <c r="Z42">
        <v>24.99</v>
      </c>
      <c r="AA42">
        <v>0</v>
      </c>
      <c r="AB42" t="s">
        <v>88</v>
      </c>
      <c r="AC42" t="s">
        <v>67</v>
      </c>
      <c r="AE42">
        <v>5</v>
      </c>
    </row>
    <row r="43" spans="1:31">
      <c r="A43" t="s">
        <v>308</v>
      </c>
      <c r="B43" t="s">
        <v>309</v>
      </c>
      <c r="C43" t="s">
        <v>155</v>
      </c>
      <c r="D43" t="s">
        <v>92</v>
      </c>
      <c r="E43">
        <v>19</v>
      </c>
      <c r="F43" t="s">
        <v>21</v>
      </c>
      <c r="G43" t="s">
        <v>19</v>
      </c>
      <c r="H43" t="s">
        <v>82</v>
      </c>
      <c r="J43" t="s">
        <v>156</v>
      </c>
      <c r="K43" t="s">
        <v>296</v>
      </c>
      <c r="L43" t="s">
        <v>60</v>
      </c>
      <c r="M43" t="s">
        <v>128</v>
      </c>
      <c r="N43">
        <v>2</v>
      </c>
      <c r="O43">
        <v>97.52</v>
      </c>
      <c r="P43">
        <v>195.04</v>
      </c>
      <c r="Q43">
        <v>0</v>
      </c>
      <c r="R43">
        <v>0</v>
      </c>
      <c r="S43">
        <v>195.04</v>
      </c>
      <c r="T43">
        <v>134.89</v>
      </c>
      <c r="U43">
        <v>60.15</v>
      </c>
      <c r="V43" t="s">
        <v>77</v>
      </c>
      <c r="W43" t="s">
        <v>78</v>
      </c>
      <c r="X43" t="s">
        <v>64</v>
      </c>
      <c r="Y43" t="s">
        <v>253</v>
      </c>
      <c r="Z43">
        <v>19.99</v>
      </c>
      <c r="AA43">
        <v>1</v>
      </c>
      <c r="AB43" t="s">
        <v>164</v>
      </c>
      <c r="AC43" t="s">
        <v>67</v>
      </c>
      <c r="AE43">
        <v>5</v>
      </c>
    </row>
    <row r="44" spans="1:31">
      <c r="A44" t="s">
        <v>310</v>
      </c>
      <c r="B44" t="s">
        <v>311</v>
      </c>
      <c r="C44" t="s">
        <v>312</v>
      </c>
      <c r="D44" t="s">
        <v>92</v>
      </c>
      <c r="E44">
        <v>25</v>
      </c>
      <c r="F44" t="s">
        <v>21</v>
      </c>
      <c r="G44" t="s">
        <v>16</v>
      </c>
      <c r="H44" t="s">
        <v>300</v>
      </c>
      <c r="J44" t="s">
        <v>313</v>
      </c>
      <c r="K44" t="s">
        <v>314</v>
      </c>
      <c r="L44" t="s">
        <v>85</v>
      </c>
      <c r="M44" t="s">
        <v>86</v>
      </c>
      <c r="N44">
        <v>1</v>
      </c>
      <c r="O44">
        <v>824</v>
      </c>
      <c r="P44">
        <v>824</v>
      </c>
      <c r="Q44">
        <v>0.05</v>
      </c>
      <c r="R44">
        <v>41.2</v>
      </c>
      <c r="S44">
        <v>782.8</v>
      </c>
      <c r="T44">
        <v>621.15</v>
      </c>
      <c r="U44">
        <v>161.65</v>
      </c>
      <c r="V44" t="s">
        <v>62</v>
      </c>
      <c r="W44" t="s">
        <v>114</v>
      </c>
      <c r="X44" t="s">
        <v>115</v>
      </c>
      <c r="Y44" t="s">
        <v>65</v>
      </c>
      <c r="Z44">
        <v>0</v>
      </c>
      <c r="AA44">
        <v>4</v>
      </c>
      <c r="AB44" t="s">
        <v>192</v>
      </c>
      <c r="AC44" t="s">
        <v>67</v>
      </c>
      <c r="AE44">
        <v>4</v>
      </c>
    </row>
    <row r="45" spans="1:31">
      <c r="A45" t="s">
        <v>315</v>
      </c>
      <c r="B45" t="s">
        <v>316</v>
      </c>
      <c r="C45" t="s">
        <v>317</v>
      </c>
      <c r="D45" t="s">
        <v>110</v>
      </c>
      <c r="E45">
        <v>18</v>
      </c>
      <c r="F45" t="s">
        <v>21</v>
      </c>
      <c r="G45" t="s">
        <v>19</v>
      </c>
      <c r="H45" t="s">
        <v>82</v>
      </c>
      <c r="J45" t="s">
        <v>83</v>
      </c>
      <c r="K45" t="s">
        <v>318</v>
      </c>
      <c r="L45" t="s">
        <v>85</v>
      </c>
      <c r="M45" t="s">
        <v>226</v>
      </c>
      <c r="N45">
        <v>4</v>
      </c>
      <c r="O45">
        <v>112.96</v>
      </c>
      <c r="P45">
        <v>451.84</v>
      </c>
      <c r="Q45">
        <v>0</v>
      </c>
      <c r="R45">
        <v>0</v>
      </c>
      <c r="S45">
        <v>451.84</v>
      </c>
      <c r="T45">
        <v>345.25</v>
      </c>
      <c r="U45">
        <v>106.59</v>
      </c>
      <c r="V45" t="s">
        <v>62</v>
      </c>
      <c r="W45" t="s">
        <v>114</v>
      </c>
      <c r="X45" t="s">
        <v>64</v>
      </c>
      <c r="Y45" t="s">
        <v>65</v>
      </c>
      <c r="Z45">
        <v>0</v>
      </c>
      <c r="AA45">
        <v>5</v>
      </c>
      <c r="AB45" t="s">
        <v>185</v>
      </c>
      <c r="AC45" t="s">
        <v>271</v>
      </c>
      <c r="AD45" t="s">
        <v>319</v>
      </c>
    </row>
    <row r="46" spans="1:31">
      <c r="A46" t="s">
        <v>320</v>
      </c>
      <c r="B46" t="s">
        <v>316</v>
      </c>
      <c r="C46" t="s">
        <v>321</v>
      </c>
      <c r="D46" t="s">
        <v>110</v>
      </c>
      <c r="E46">
        <v>57</v>
      </c>
      <c r="F46" t="s">
        <v>22</v>
      </c>
      <c r="G46" t="s">
        <v>16</v>
      </c>
      <c r="H46" t="s">
        <v>250</v>
      </c>
      <c r="J46" t="s">
        <v>322</v>
      </c>
      <c r="K46" t="s">
        <v>323</v>
      </c>
      <c r="L46" t="s">
        <v>196</v>
      </c>
      <c r="M46" t="s">
        <v>205</v>
      </c>
      <c r="N46">
        <v>2</v>
      </c>
      <c r="O46">
        <v>40</v>
      </c>
      <c r="P46">
        <v>80</v>
      </c>
      <c r="Q46">
        <v>0</v>
      </c>
      <c r="R46">
        <v>0</v>
      </c>
      <c r="S46">
        <v>80</v>
      </c>
      <c r="T46">
        <v>32.1</v>
      </c>
      <c r="U46">
        <v>47.9</v>
      </c>
      <c r="V46" t="s">
        <v>62</v>
      </c>
      <c r="W46" t="s">
        <v>78</v>
      </c>
      <c r="X46" t="s">
        <v>137</v>
      </c>
      <c r="Y46" t="s">
        <v>107</v>
      </c>
      <c r="Z46">
        <v>12.99</v>
      </c>
      <c r="AA46">
        <v>3</v>
      </c>
      <c r="AB46" t="s">
        <v>247</v>
      </c>
      <c r="AC46" t="s">
        <v>67</v>
      </c>
    </row>
    <row r="47" spans="1:31">
      <c r="A47" t="s">
        <v>324</v>
      </c>
      <c r="B47" t="s">
        <v>325</v>
      </c>
      <c r="C47" t="s">
        <v>326</v>
      </c>
      <c r="D47" t="s">
        <v>92</v>
      </c>
      <c r="E47">
        <v>54</v>
      </c>
      <c r="F47" t="s">
        <v>21</v>
      </c>
      <c r="G47" t="s">
        <v>16</v>
      </c>
      <c r="H47" t="s">
        <v>300</v>
      </c>
      <c r="J47" t="s">
        <v>301</v>
      </c>
      <c r="K47" t="s">
        <v>327</v>
      </c>
      <c r="L47" t="s">
        <v>196</v>
      </c>
      <c r="M47" t="s">
        <v>209</v>
      </c>
      <c r="N47">
        <v>1</v>
      </c>
      <c r="O47">
        <v>79.75</v>
      </c>
      <c r="P47">
        <v>79.75</v>
      </c>
      <c r="Q47">
        <v>0.15</v>
      </c>
      <c r="R47">
        <v>11.96</v>
      </c>
      <c r="S47">
        <v>67.79</v>
      </c>
      <c r="T47">
        <v>34.77</v>
      </c>
      <c r="U47">
        <v>33.02</v>
      </c>
      <c r="V47" t="s">
        <v>77</v>
      </c>
      <c r="W47" t="s">
        <v>78</v>
      </c>
      <c r="X47" t="s">
        <v>64</v>
      </c>
      <c r="Y47" t="s">
        <v>65</v>
      </c>
      <c r="Z47">
        <v>5.99</v>
      </c>
      <c r="AA47">
        <v>5</v>
      </c>
      <c r="AB47" t="s">
        <v>164</v>
      </c>
      <c r="AC47" t="s">
        <v>67</v>
      </c>
      <c r="AE47">
        <v>5</v>
      </c>
    </row>
    <row r="48" spans="1:31">
      <c r="A48" t="s">
        <v>328</v>
      </c>
      <c r="B48" t="s">
        <v>329</v>
      </c>
      <c r="C48" t="s">
        <v>330</v>
      </c>
      <c r="D48" t="s">
        <v>71</v>
      </c>
      <c r="E48">
        <v>38</v>
      </c>
      <c r="F48" t="s">
        <v>22</v>
      </c>
      <c r="G48" t="s">
        <v>19</v>
      </c>
      <c r="H48" t="s">
        <v>82</v>
      </c>
      <c r="J48" t="s">
        <v>83</v>
      </c>
      <c r="K48" t="s">
        <v>331</v>
      </c>
      <c r="L48" t="s">
        <v>75</v>
      </c>
      <c r="M48" t="s">
        <v>287</v>
      </c>
      <c r="N48">
        <v>3</v>
      </c>
      <c r="O48">
        <v>21.86</v>
      </c>
      <c r="P48">
        <v>65.58</v>
      </c>
      <c r="Q48">
        <v>0</v>
      </c>
      <c r="R48">
        <v>0</v>
      </c>
      <c r="S48">
        <v>65.58</v>
      </c>
      <c r="T48">
        <v>44.36</v>
      </c>
      <c r="U48">
        <v>21.22</v>
      </c>
      <c r="V48" t="s">
        <v>77</v>
      </c>
      <c r="W48" t="s">
        <v>78</v>
      </c>
      <c r="X48" t="s">
        <v>64</v>
      </c>
      <c r="Y48" t="s">
        <v>107</v>
      </c>
      <c r="Z48">
        <v>12.99</v>
      </c>
      <c r="AA48">
        <v>3</v>
      </c>
      <c r="AB48" t="s">
        <v>164</v>
      </c>
      <c r="AC48" t="s">
        <v>67</v>
      </c>
      <c r="AE48">
        <v>5</v>
      </c>
    </row>
    <row r="49" spans="1:31">
      <c r="A49" t="s">
        <v>332</v>
      </c>
      <c r="B49" t="s">
        <v>333</v>
      </c>
      <c r="C49" t="s">
        <v>334</v>
      </c>
      <c r="D49" t="s">
        <v>110</v>
      </c>
      <c r="E49">
        <v>40</v>
      </c>
      <c r="F49" t="s">
        <v>22</v>
      </c>
      <c r="G49" t="s">
        <v>19</v>
      </c>
      <c r="H49" t="s">
        <v>148</v>
      </c>
      <c r="J49" t="s">
        <v>182</v>
      </c>
      <c r="K49" t="s">
        <v>335</v>
      </c>
      <c r="L49" t="s">
        <v>151</v>
      </c>
      <c r="M49" t="s">
        <v>336</v>
      </c>
      <c r="N49">
        <v>1</v>
      </c>
      <c r="O49">
        <v>57.25</v>
      </c>
      <c r="P49">
        <v>57.25</v>
      </c>
      <c r="Q49">
        <v>0</v>
      </c>
      <c r="R49">
        <v>0</v>
      </c>
      <c r="S49">
        <v>57.25</v>
      </c>
      <c r="T49">
        <v>41.68</v>
      </c>
      <c r="U49">
        <v>15.57</v>
      </c>
      <c r="V49" t="s">
        <v>62</v>
      </c>
      <c r="W49" t="s">
        <v>78</v>
      </c>
      <c r="X49" t="s">
        <v>115</v>
      </c>
      <c r="Y49" t="s">
        <v>305</v>
      </c>
      <c r="Z49">
        <v>2.99</v>
      </c>
      <c r="AA49">
        <v>10</v>
      </c>
      <c r="AB49" t="s">
        <v>97</v>
      </c>
      <c r="AC49" t="s">
        <v>67</v>
      </c>
    </row>
    <row r="50" spans="1:31">
      <c r="A50" t="s">
        <v>337</v>
      </c>
      <c r="B50" t="s">
        <v>338</v>
      </c>
      <c r="C50" t="s">
        <v>339</v>
      </c>
      <c r="D50" t="s">
        <v>92</v>
      </c>
      <c r="E50">
        <v>42</v>
      </c>
      <c r="F50" t="s">
        <v>22</v>
      </c>
      <c r="G50" t="s">
        <v>19</v>
      </c>
      <c r="H50" t="s">
        <v>148</v>
      </c>
      <c r="J50" t="s">
        <v>149</v>
      </c>
      <c r="K50" t="s">
        <v>340</v>
      </c>
      <c r="L50" t="s">
        <v>196</v>
      </c>
      <c r="M50" t="s">
        <v>341</v>
      </c>
      <c r="N50">
        <v>1</v>
      </c>
      <c r="O50">
        <v>29.34</v>
      </c>
      <c r="P50">
        <v>29.34</v>
      </c>
      <c r="Q50">
        <v>0.15</v>
      </c>
      <c r="R50">
        <v>4.4</v>
      </c>
      <c r="S50">
        <v>24.94</v>
      </c>
      <c r="T50">
        <v>10.11</v>
      </c>
      <c r="U50">
        <v>14.83</v>
      </c>
      <c r="V50" t="s">
        <v>96</v>
      </c>
      <c r="W50" t="s">
        <v>78</v>
      </c>
      <c r="X50" t="s">
        <v>137</v>
      </c>
      <c r="Y50" t="s">
        <v>65</v>
      </c>
      <c r="Z50">
        <v>5.99</v>
      </c>
      <c r="AA50">
        <v>4</v>
      </c>
      <c r="AB50" t="s">
        <v>247</v>
      </c>
      <c r="AC50" t="s">
        <v>67</v>
      </c>
      <c r="AE50">
        <v>5</v>
      </c>
    </row>
    <row r="51" spans="1:31">
      <c r="A51" t="s">
        <v>342</v>
      </c>
      <c r="B51" t="s">
        <v>343</v>
      </c>
      <c r="C51" t="s">
        <v>344</v>
      </c>
      <c r="D51" t="s">
        <v>71</v>
      </c>
      <c r="E51">
        <v>52</v>
      </c>
      <c r="F51" t="s">
        <v>22</v>
      </c>
      <c r="G51" t="s">
        <v>16</v>
      </c>
      <c r="H51" t="s">
        <v>119</v>
      </c>
      <c r="J51" t="s">
        <v>120</v>
      </c>
      <c r="K51" t="s">
        <v>291</v>
      </c>
      <c r="L51" t="s">
        <v>60</v>
      </c>
      <c r="M51" t="s">
        <v>128</v>
      </c>
      <c r="N51">
        <v>1</v>
      </c>
      <c r="O51">
        <v>429.53</v>
      </c>
      <c r="P51">
        <v>429.53</v>
      </c>
      <c r="Q51">
        <v>0.05</v>
      </c>
      <c r="R51">
        <v>21.48</v>
      </c>
      <c r="S51">
        <v>408.05</v>
      </c>
      <c r="T51">
        <v>217.74</v>
      </c>
      <c r="U51">
        <v>190.31</v>
      </c>
      <c r="V51" t="s">
        <v>77</v>
      </c>
      <c r="W51" t="s">
        <v>78</v>
      </c>
      <c r="X51" t="s">
        <v>106</v>
      </c>
      <c r="Y51" t="s">
        <v>107</v>
      </c>
      <c r="Z51">
        <v>12.99</v>
      </c>
      <c r="AA51">
        <v>2</v>
      </c>
      <c r="AB51" t="s">
        <v>66</v>
      </c>
      <c r="AC51" t="s">
        <v>67</v>
      </c>
    </row>
    <row r="52" spans="1:31">
      <c r="A52" t="s">
        <v>345</v>
      </c>
      <c r="B52" t="s">
        <v>346</v>
      </c>
      <c r="C52" t="s">
        <v>347</v>
      </c>
      <c r="D52" t="s">
        <v>92</v>
      </c>
      <c r="E52">
        <v>34</v>
      </c>
      <c r="F52" t="s">
        <v>21</v>
      </c>
      <c r="G52" t="s">
        <v>19</v>
      </c>
      <c r="H52" t="s">
        <v>82</v>
      </c>
      <c r="J52" t="s">
        <v>83</v>
      </c>
      <c r="K52" t="s">
        <v>143</v>
      </c>
      <c r="L52" t="s">
        <v>60</v>
      </c>
      <c r="M52" t="s">
        <v>61</v>
      </c>
      <c r="N52">
        <v>1</v>
      </c>
      <c r="O52">
        <v>37.03</v>
      </c>
      <c r="P52">
        <v>37.03</v>
      </c>
      <c r="Q52">
        <v>0.1</v>
      </c>
      <c r="R52">
        <v>3.7</v>
      </c>
      <c r="S52">
        <v>33.33</v>
      </c>
      <c r="T52">
        <v>17.9</v>
      </c>
      <c r="U52">
        <v>15.43</v>
      </c>
      <c r="V52" t="s">
        <v>77</v>
      </c>
      <c r="W52" t="s">
        <v>78</v>
      </c>
      <c r="X52" t="s">
        <v>137</v>
      </c>
      <c r="Y52" t="s">
        <v>65</v>
      </c>
      <c r="Z52">
        <v>5.99</v>
      </c>
      <c r="AA52">
        <v>5</v>
      </c>
      <c r="AB52" t="s">
        <v>88</v>
      </c>
      <c r="AC52" t="s">
        <v>67</v>
      </c>
      <c r="AE52">
        <v>5</v>
      </c>
    </row>
    <row r="53" spans="1:31">
      <c r="A53" t="s">
        <v>348</v>
      </c>
      <c r="B53" t="s">
        <v>346</v>
      </c>
      <c r="C53" t="s">
        <v>349</v>
      </c>
      <c r="D53" t="s">
        <v>110</v>
      </c>
      <c r="E53">
        <v>39</v>
      </c>
      <c r="F53" t="s">
        <v>21</v>
      </c>
      <c r="G53" t="s">
        <v>19</v>
      </c>
      <c r="H53" t="s">
        <v>82</v>
      </c>
      <c r="J53" t="s">
        <v>156</v>
      </c>
      <c r="K53" t="s">
        <v>103</v>
      </c>
      <c r="L53" t="s">
        <v>104</v>
      </c>
      <c r="M53" t="s">
        <v>105</v>
      </c>
      <c r="N53">
        <v>1</v>
      </c>
      <c r="O53">
        <v>470.23</v>
      </c>
      <c r="P53">
        <v>470.23</v>
      </c>
      <c r="Q53">
        <v>0</v>
      </c>
      <c r="R53">
        <v>0</v>
      </c>
      <c r="S53">
        <v>470.23</v>
      </c>
      <c r="T53">
        <v>283.6</v>
      </c>
      <c r="U53">
        <v>186.63</v>
      </c>
      <c r="V53" t="s">
        <v>77</v>
      </c>
      <c r="W53" t="s">
        <v>78</v>
      </c>
      <c r="X53" t="s">
        <v>137</v>
      </c>
      <c r="Y53" t="s">
        <v>305</v>
      </c>
      <c r="Z53">
        <v>0</v>
      </c>
      <c r="AA53">
        <v>9</v>
      </c>
      <c r="AB53" t="s">
        <v>97</v>
      </c>
      <c r="AC53" t="s">
        <v>67</v>
      </c>
      <c r="AE53">
        <v>5</v>
      </c>
    </row>
    <row r="54" spans="1:31">
      <c r="A54" t="s">
        <v>350</v>
      </c>
      <c r="B54" t="s">
        <v>351</v>
      </c>
      <c r="C54" t="s">
        <v>352</v>
      </c>
      <c r="D54" t="s">
        <v>71</v>
      </c>
      <c r="E54">
        <v>41</v>
      </c>
      <c r="F54" t="s">
        <v>22</v>
      </c>
      <c r="G54" t="s">
        <v>18</v>
      </c>
      <c r="H54" t="s">
        <v>133</v>
      </c>
      <c r="J54" t="s">
        <v>134</v>
      </c>
      <c r="K54" t="s">
        <v>353</v>
      </c>
      <c r="L54" t="s">
        <v>85</v>
      </c>
      <c r="M54" t="s">
        <v>354</v>
      </c>
      <c r="N54">
        <v>1</v>
      </c>
      <c r="O54">
        <v>201.41</v>
      </c>
      <c r="P54">
        <v>201.41</v>
      </c>
      <c r="Q54">
        <v>0.1</v>
      </c>
      <c r="R54">
        <v>20.14</v>
      </c>
      <c r="S54">
        <v>181.27</v>
      </c>
      <c r="T54">
        <v>154.39</v>
      </c>
      <c r="U54">
        <v>26.88</v>
      </c>
      <c r="V54" t="s">
        <v>62</v>
      </c>
      <c r="W54" t="s">
        <v>78</v>
      </c>
      <c r="X54" t="s">
        <v>144</v>
      </c>
      <c r="Y54" t="s">
        <v>305</v>
      </c>
      <c r="Z54">
        <v>0</v>
      </c>
      <c r="AA54">
        <v>8</v>
      </c>
      <c r="AB54" t="s">
        <v>66</v>
      </c>
      <c r="AC54" t="s">
        <v>67</v>
      </c>
      <c r="AE54">
        <v>4</v>
      </c>
    </row>
    <row r="55" spans="1:31">
      <c r="A55" t="s">
        <v>355</v>
      </c>
      <c r="B55" t="s">
        <v>356</v>
      </c>
      <c r="C55" t="s">
        <v>357</v>
      </c>
      <c r="D55" t="s">
        <v>92</v>
      </c>
      <c r="E55">
        <v>34</v>
      </c>
      <c r="F55" t="s">
        <v>22</v>
      </c>
      <c r="G55" t="s">
        <v>16</v>
      </c>
      <c r="H55" t="s">
        <v>358</v>
      </c>
      <c r="J55" t="s">
        <v>359</v>
      </c>
      <c r="K55" t="s">
        <v>360</v>
      </c>
      <c r="L55" t="s">
        <v>104</v>
      </c>
      <c r="M55" t="s">
        <v>361</v>
      </c>
      <c r="N55">
        <v>2</v>
      </c>
      <c r="O55">
        <v>308.48</v>
      </c>
      <c r="P55">
        <v>616.96</v>
      </c>
      <c r="Q55">
        <v>0.05</v>
      </c>
      <c r="R55">
        <v>30.85</v>
      </c>
      <c r="S55">
        <v>586.11</v>
      </c>
      <c r="T55">
        <v>416.02</v>
      </c>
      <c r="U55">
        <v>170.09</v>
      </c>
      <c r="V55" t="s">
        <v>62</v>
      </c>
      <c r="W55" t="s">
        <v>114</v>
      </c>
      <c r="X55" t="s">
        <v>64</v>
      </c>
      <c r="Y55" t="s">
        <v>305</v>
      </c>
      <c r="Z55">
        <v>0</v>
      </c>
      <c r="AA55">
        <v>10</v>
      </c>
      <c r="AB55" t="s">
        <v>185</v>
      </c>
      <c r="AC55" t="s">
        <v>67</v>
      </c>
      <c r="AE55">
        <v>5</v>
      </c>
    </row>
    <row r="56" spans="1:31">
      <c r="A56" t="s">
        <v>362</v>
      </c>
      <c r="B56" t="s">
        <v>363</v>
      </c>
      <c r="C56" t="s">
        <v>364</v>
      </c>
      <c r="D56" t="s">
        <v>92</v>
      </c>
      <c r="E56">
        <v>66</v>
      </c>
      <c r="F56" t="s">
        <v>21</v>
      </c>
      <c r="G56" t="s">
        <v>19</v>
      </c>
      <c r="H56" t="s">
        <v>82</v>
      </c>
      <c r="J56" t="s">
        <v>156</v>
      </c>
      <c r="K56" t="s">
        <v>365</v>
      </c>
      <c r="L56" t="s">
        <v>151</v>
      </c>
      <c r="M56" t="s">
        <v>152</v>
      </c>
      <c r="N56">
        <v>1</v>
      </c>
      <c r="O56">
        <v>39.15</v>
      </c>
      <c r="P56">
        <v>39.15</v>
      </c>
      <c r="Q56">
        <v>0.05</v>
      </c>
      <c r="R56">
        <v>1.96</v>
      </c>
      <c r="S56">
        <v>37.19</v>
      </c>
      <c r="T56">
        <v>25.2</v>
      </c>
      <c r="U56">
        <v>11.99</v>
      </c>
      <c r="V56" t="s">
        <v>62</v>
      </c>
      <c r="W56" t="s">
        <v>78</v>
      </c>
      <c r="X56" t="s">
        <v>64</v>
      </c>
      <c r="Y56" t="s">
        <v>65</v>
      </c>
      <c r="Z56">
        <v>5.99</v>
      </c>
      <c r="AA56">
        <v>7</v>
      </c>
      <c r="AB56" t="s">
        <v>247</v>
      </c>
      <c r="AC56" t="s">
        <v>67</v>
      </c>
      <c r="AE56">
        <v>5</v>
      </c>
    </row>
    <row r="57" spans="1:31">
      <c r="A57" t="s">
        <v>366</v>
      </c>
      <c r="B57" t="s">
        <v>367</v>
      </c>
      <c r="C57" t="s">
        <v>368</v>
      </c>
      <c r="D57" t="s">
        <v>92</v>
      </c>
      <c r="E57">
        <v>28</v>
      </c>
      <c r="F57" t="s">
        <v>21</v>
      </c>
      <c r="G57" t="s">
        <v>19</v>
      </c>
      <c r="H57" t="s">
        <v>124</v>
      </c>
      <c r="I57" t="s">
        <v>174</v>
      </c>
      <c r="J57" t="s">
        <v>175</v>
      </c>
      <c r="K57" t="s">
        <v>369</v>
      </c>
      <c r="L57" t="s">
        <v>75</v>
      </c>
      <c r="M57" t="s">
        <v>370</v>
      </c>
      <c r="N57">
        <v>1</v>
      </c>
      <c r="O57">
        <v>25.9</v>
      </c>
      <c r="P57">
        <v>25.9</v>
      </c>
      <c r="Q57">
        <v>0</v>
      </c>
      <c r="R57">
        <v>0</v>
      </c>
      <c r="S57">
        <v>25.9</v>
      </c>
      <c r="T57">
        <v>18.54</v>
      </c>
      <c r="U57">
        <v>7.36</v>
      </c>
      <c r="V57" t="s">
        <v>77</v>
      </c>
      <c r="W57" t="s">
        <v>78</v>
      </c>
      <c r="X57" t="s">
        <v>64</v>
      </c>
      <c r="Y57" t="s">
        <v>253</v>
      </c>
      <c r="Z57">
        <v>19.99</v>
      </c>
      <c r="AA57">
        <v>1</v>
      </c>
      <c r="AB57" t="s">
        <v>164</v>
      </c>
      <c r="AC57" t="s">
        <v>67</v>
      </c>
      <c r="AE57">
        <v>4</v>
      </c>
    </row>
    <row r="58" spans="1:31">
      <c r="A58" t="s">
        <v>371</v>
      </c>
      <c r="B58" t="s">
        <v>372</v>
      </c>
      <c r="C58" t="s">
        <v>373</v>
      </c>
      <c r="D58" t="s">
        <v>110</v>
      </c>
      <c r="E58">
        <v>28</v>
      </c>
      <c r="F58" t="s">
        <v>22</v>
      </c>
      <c r="G58" t="s">
        <v>15</v>
      </c>
      <c r="H58" t="s">
        <v>374</v>
      </c>
      <c r="J58" t="s">
        <v>374</v>
      </c>
      <c r="K58" t="s">
        <v>375</v>
      </c>
      <c r="L58" t="s">
        <v>104</v>
      </c>
      <c r="M58" t="s">
        <v>376</v>
      </c>
      <c r="N58">
        <v>1</v>
      </c>
      <c r="O58">
        <v>76.74</v>
      </c>
      <c r="P58">
        <v>76.74</v>
      </c>
      <c r="Q58">
        <v>0</v>
      </c>
      <c r="R58">
        <v>0</v>
      </c>
      <c r="S58">
        <v>76.74</v>
      </c>
      <c r="T58">
        <v>43.3</v>
      </c>
      <c r="U58">
        <v>33.44</v>
      </c>
      <c r="V58" t="s">
        <v>77</v>
      </c>
      <c r="W58" t="s">
        <v>78</v>
      </c>
      <c r="X58" t="s">
        <v>129</v>
      </c>
      <c r="Y58" t="s">
        <v>307</v>
      </c>
      <c r="Z58">
        <v>24.99</v>
      </c>
      <c r="AA58">
        <v>0</v>
      </c>
      <c r="AB58" t="s">
        <v>185</v>
      </c>
      <c r="AC58" t="s">
        <v>67</v>
      </c>
    </row>
    <row r="59" spans="1:31">
      <c r="A59" t="s">
        <v>377</v>
      </c>
      <c r="B59" t="s">
        <v>378</v>
      </c>
      <c r="C59" t="s">
        <v>379</v>
      </c>
      <c r="D59" t="s">
        <v>110</v>
      </c>
      <c r="E59">
        <v>32</v>
      </c>
      <c r="F59" t="s">
        <v>21</v>
      </c>
      <c r="G59" t="s">
        <v>16</v>
      </c>
      <c r="H59" t="s">
        <v>358</v>
      </c>
      <c r="J59" t="s">
        <v>359</v>
      </c>
      <c r="K59" t="s">
        <v>291</v>
      </c>
      <c r="L59" t="s">
        <v>60</v>
      </c>
      <c r="M59" t="s">
        <v>128</v>
      </c>
      <c r="N59">
        <v>1</v>
      </c>
      <c r="O59">
        <v>69.33</v>
      </c>
      <c r="P59">
        <v>69.33</v>
      </c>
      <c r="Q59">
        <v>0.05</v>
      </c>
      <c r="R59">
        <v>3.47</v>
      </c>
      <c r="S59">
        <v>65.86</v>
      </c>
      <c r="T59">
        <v>34.84</v>
      </c>
      <c r="U59">
        <v>31.02</v>
      </c>
      <c r="V59" t="s">
        <v>62</v>
      </c>
      <c r="W59" t="s">
        <v>78</v>
      </c>
      <c r="X59" t="s">
        <v>87</v>
      </c>
      <c r="Y59" t="s">
        <v>65</v>
      </c>
      <c r="Z59">
        <v>5.99</v>
      </c>
      <c r="AA59">
        <v>6</v>
      </c>
      <c r="AB59" t="s">
        <v>97</v>
      </c>
      <c r="AC59" t="s">
        <v>67</v>
      </c>
    </row>
    <row r="60" spans="1:31">
      <c r="A60" t="s">
        <v>380</v>
      </c>
      <c r="B60" t="s">
        <v>378</v>
      </c>
      <c r="C60" t="s">
        <v>381</v>
      </c>
      <c r="D60" t="s">
        <v>110</v>
      </c>
      <c r="E60">
        <v>62</v>
      </c>
      <c r="F60" t="s">
        <v>22</v>
      </c>
      <c r="G60" t="s">
        <v>19</v>
      </c>
      <c r="H60" t="s">
        <v>124</v>
      </c>
      <c r="I60" t="s">
        <v>125</v>
      </c>
      <c r="J60" t="s">
        <v>175</v>
      </c>
      <c r="K60" t="s">
        <v>382</v>
      </c>
      <c r="L60" t="s">
        <v>104</v>
      </c>
      <c r="M60" t="s">
        <v>376</v>
      </c>
      <c r="N60">
        <v>1</v>
      </c>
      <c r="O60">
        <v>456.78</v>
      </c>
      <c r="P60">
        <v>456.78</v>
      </c>
      <c r="Q60">
        <v>0.05</v>
      </c>
      <c r="R60">
        <v>22.84</v>
      </c>
      <c r="S60">
        <v>433.94</v>
      </c>
      <c r="T60">
        <v>295.08</v>
      </c>
      <c r="U60">
        <v>138.86</v>
      </c>
      <c r="V60" t="s">
        <v>62</v>
      </c>
      <c r="W60" t="s">
        <v>63</v>
      </c>
      <c r="X60" t="s">
        <v>115</v>
      </c>
      <c r="Y60" t="s">
        <v>107</v>
      </c>
      <c r="Z60">
        <v>12.99</v>
      </c>
      <c r="AA60">
        <v>2</v>
      </c>
      <c r="AB60" t="s">
        <v>97</v>
      </c>
      <c r="AC60" t="s">
        <v>67</v>
      </c>
      <c r="AE60">
        <v>4</v>
      </c>
    </row>
    <row r="61" spans="1:31">
      <c r="A61" t="s">
        <v>383</v>
      </c>
      <c r="B61" t="s">
        <v>384</v>
      </c>
      <c r="C61" t="s">
        <v>385</v>
      </c>
      <c r="D61" t="s">
        <v>110</v>
      </c>
      <c r="E61">
        <v>22</v>
      </c>
      <c r="F61" t="s">
        <v>21</v>
      </c>
      <c r="G61" t="s">
        <v>16</v>
      </c>
      <c r="H61" t="s">
        <v>119</v>
      </c>
      <c r="J61" t="s">
        <v>276</v>
      </c>
      <c r="K61" t="s">
        <v>386</v>
      </c>
      <c r="L61" t="s">
        <v>151</v>
      </c>
      <c r="M61" t="s">
        <v>152</v>
      </c>
      <c r="N61">
        <v>1</v>
      </c>
      <c r="O61">
        <v>9.89</v>
      </c>
      <c r="P61">
        <v>9.89</v>
      </c>
      <c r="Q61">
        <v>0</v>
      </c>
      <c r="R61">
        <v>0</v>
      </c>
      <c r="S61">
        <v>9.89</v>
      </c>
      <c r="T61">
        <v>7.53</v>
      </c>
      <c r="U61">
        <v>2.36</v>
      </c>
      <c r="V61" t="s">
        <v>96</v>
      </c>
      <c r="W61" t="s">
        <v>78</v>
      </c>
      <c r="X61" t="s">
        <v>129</v>
      </c>
      <c r="Y61" t="s">
        <v>253</v>
      </c>
      <c r="Z61">
        <v>19.99</v>
      </c>
      <c r="AA61">
        <v>1</v>
      </c>
      <c r="AB61" t="s">
        <v>192</v>
      </c>
      <c r="AC61" t="s">
        <v>67</v>
      </c>
    </row>
    <row r="62" spans="1:31">
      <c r="A62" t="s">
        <v>387</v>
      </c>
      <c r="B62" t="s">
        <v>388</v>
      </c>
      <c r="C62" t="s">
        <v>389</v>
      </c>
      <c r="D62" t="s">
        <v>110</v>
      </c>
      <c r="E62">
        <v>26</v>
      </c>
      <c r="F62" t="s">
        <v>22</v>
      </c>
      <c r="G62" t="s">
        <v>19</v>
      </c>
      <c r="H62" t="s">
        <v>124</v>
      </c>
      <c r="I62" t="s">
        <v>125</v>
      </c>
      <c r="J62" t="s">
        <v>390</v>
      </c>
      <c r="K62" t="s">
        <v>195</v>
      </c>
      <c r="L62" t="s">
        <v>196</v>
      </c>
      <c r="M62" t="s">
        <v>197</v>
      </c>
      <c r="N62">
        <v>2</v>
      </c>
      <c r="O62">
        <v>26.21</v>
      </c>
      <c r="P62">
        <v>52.42</v>
      </c>
      <c r="Q62">
        <v>0.1</v>
      </c>
      <c r="R62">
        <v>5.24</v>
      </c>
      <c r="S62">
        <v>47.18</v>
      </c>
      <c r="T62">
        <v>25.6</v>
      </c>
      <c r="U62">
        <v>21.58</v>
      </c>
      <c r="V62" t="s">
        <v>62</v>
      </c>
      <c r="W62" t="s">
        <v>78</v>
      </c>
      <c r="X62" t="s">
        <v>64</v>
      </c>
      <c r="Y62" t="s">
        <v>65</v>
      </c>
      <c r="Z62">
        <v>5.99</v>
      </c>
      <c r="AA62">
        <v>7</v>
      </c>
      <c r="AB62" t="s">
        <v>247</v>
      </c>
      <c r="AC62" t="s">
        <v>271</v>
      </c>
      <c r="AD62" t="s">
        <v>391</v>
      </c>
    </row>
    <row r="63" spans="1:31">
      <c r="A63" t="s">
        <v>392</v>
      </c>
      <c r="B63" t="s">
        <v>393</v>
      </c>
      <c r="C63" t="s">
        <v>394</v>
      </c>
      <c r="D63" t="s">
        <v>92</v>
      </c>
      <c r="E63">
        <v>61</v>
      </c>
      <c r="F63" t="s">
        <v>22</v>
      </c>
      <c r="G63" t="s">
        <v>19</v>
      </c>
      <c r="H63" t="s">
        <v>148</v>
      </c>
      <c r="J63" t="s">
        <v>182</v>
      </c>
      <c r="K63" t="s">
        <v>318</v>
      </c>
      <c r="L63" t="s">
        <v>85</v>
      </c>
      <c r="M63" t="s">
        <v>226</v>
      </c>
      <c r="N63">
        <v>1</v>
      </c>
      <c r="O63">
        <v>721.31</v>
      </c>
      <c r="P63">
        <v>721.31</v>
      </c>
      <c r="Q63">
        <v>0.15</v>
      </c>
      <c r="R63">
        <v>108.2</v>
      </c>
      <c r="S63">
        <v>613.11</v>
      </c>
      <c r="T63">
        <v>499.19</v>
      </c>
      <c r="U63">
        <v>113.92</v>
      </c>
      <c r="V63" t="s">
        <v>62</v>
      </c>
      <c r="W63" t="s">
        <v>114</v>
      </c>
      <c r="X63" t="s">
        <v>137</v>
      </c>
      <c r="Y63" t="s">
        <v>107</v>
      </c>
      <c r="Z63">
        <v>12.99</v>
      </c>
      <c r="AA63">
        <v>2</v>
      </c>
      <c r="AB63" t="s">
        <v>66</v>
      </c>
      <c r="AC63" t="s">
        <v>67</v>
      </c>
      <c r="AE63">
        <v>5</v>
      </c>
    </row>
    <row r="64" spans="1:31">
      <c r="A64" t="s">
        <v>395</v>
      </c>
      <c r="B64" t="s">
        <v>396</v>
      </c>
      <c r="C64" t="s">
        <v>397</v>
      </c>
      <c r="D64" t="s">
        <v>110</v>
      </c>
      <c r="E64">
        <v>35</v>
      </c>
      <c r="F64" t="s">
        <v>22</v>
      </c>
      <c r="G64" t="s">
        <v>19</v>
      </c>
      <c r="H64" t="s">
        <v>148</v>
      </c>
      <c r="J64" t="s">
        <v>398</v>
      </c>
      <c r="K64" t="s">
        <v>375</v>
      </c>
      <c r="L64" t="s">
        <v>104</v>
      </c>
      <c r="M64" t="s">
        <v>376</v>
      </c>
      <c r="N64">
        <v>1</v>
      </c>
      <c r="O64">
        <v>272.66</v>
      </c>
      <c r="P64">
        <v>272.66</v>
      </c>
      <c r="Q64">
        <v>0.1</v>
      </c>
      <c r="R64">
        <v>27.27</v>
      </c>
      <c r="S64">
        <v>245.39</v>
      </c>
      <c r="T64">
        <v>152.95</v>
      </c>
      <c r="U64">
        <v>92.44</v>
      </c>
      <c r="V64" t="s">
        <v>221</v>
      </c>
      <c r="W64" t="s">
        <v>114</v>
      </c>
      <c r="X64" t="s">
        <v>64</v>
      </c>
      <c r="Y64" t="s">
        <v>305</v>
      </c>
      <c r="Z64">
        <v>0</v>
      </c>
      <c r="AA64">
        <v>9</v>
      </c>
      <c r="AB64" t="s">
        <v>164</v>
      </c>
      <c r="AC64" t="s">
        <v>67</v>
      </c>
    </row>
    <row r="65" spans="1:31">
      <c r="A65" t="s">
        <v>399</v>
      </c>
      <c r="B65" t="s">
        <v>400</v>
      </c>
      <c r="C65" t="s">
        <v>401</v>
      </c>
      <c r="D65" t="s">
        <v>92</v>
      </c>
      <c r="E65">
        <v>48</v>
      </c>
      <c r="F65" t="s">
        <v>22</v>
      </c>
      <c r="G65" t="s">
        <v>16</v>
      </c>
      <c r="H65" t="s">
        <v>300</v>
      </c>
      <c r="J65" t="s">
        <v>313</v>
      </c>
      <c r="K65" t="s">
        <v>402</v>
      </c>
      <c r="L65" t="s">
        <v>75</v>
      </c>
      <c r="M65" t="s">
        <v>370</v>
      </c>
      <c r="N65">
        <v>1</v>
      </c>
      <c r="O65">
        <v>57.15</v>
      </c>
      <c r="P65">
        <v>57.15</v>
      </c>
      <c r="Q65">
        <v>0.15</v>
      </c>
      <c r="R65">
        <v>8.57</v>
      </c>
      <c r="S65">
        <v>48.58</v>
      </c>
      <c r="T65">
        <v>35.59</v>
      </c>
      <c r="U65">
        <v>12.99</v>
      </c>
      <c r="V65" t="s">
        <v>62</v>
      </c>
      <c r="W65" t="s">
        <v>114</v>
      </c>
      <c r="X65" t="s">
        <v>137</v>
      </c>
      <c r="Y65" t="s">
        <v>65</v>
      </c>
      <c r="Z65">
        <v>5.99</v>
      </c>
      <c r="AA65">
        <v>7</v>
      </c>
      <c r="AB65" t="s">
        <v>164</v>
      </c>
      <c r="AC65" t="s">
        <v>67</v>
      </c>
      <c r="AE65">
        <v>4</v>
      </c>
    </row>
    <row r="66" spans="1:31">
      <c r="A66" t="s">
        <v>403</v>
      </c>
      <c r="B66" t="s">
        <v>404</v>
      </c>
      <c r="C66" t="s">
        <v>405</v>
      </c>
      <c r="D66" t="s">
        <v>110</v>
      </c>
      <c r="E66">
        <v>78</v>
      </c>
      <c r="F66" t="s">
        <v>22</v>
      </c>
      <c r="G66" t="s">
        <v>19</v>
      </c>
      <c r="H66" t="s">
        <v>148</v>
      </c>
      <c r="J66" t="s">
        <v>265</v>
      </c>
      <c r="K66" t="s">
        <v>406</v>
      </c>
      <c r="L66" t="s">
        <v>85</v>
      </c>
      <c r="M66" t="s">
        <v>354</v>
      </c>
      <c r="N66">
        <v>2</v>
      </c>
      <c r="O66">
        <v>153.09</v>
      </c>
      <c r="P66">
        <v>306.18</v>
      </c>
      <c r="Q66">
        <v>0</v>
      </c>
      <c r="R66">
        <v>0</v>
      </c>
      <c r="S66">
        <v>306.18</v>
      </c>
      <c r="T66">
        <v>262.55</v>
      </c>
      <c r="U66">
        <v>43.63</v>
      </c>
      <c r="V66" t="s">
        <v>96</v>
      </c>
      <c r="W66" t="s">
        <v>78</v>
      </c>
      <c r="X66" t="s">
        <v>137</v>
      </c>
      <c r="Y66" t="s">
        <v>65</v>
      </c>
      <c r="Z66">
        <v>0</v>
      </c>
      <c r="AA66">
        <v>4</v>
      </c>
      <c r="AB66" t="s">
        <v>66</v>
      </c>
      <c r="AC66" t="s">
        <v>67</v>
      </c>
      <c r="AE66">
        <v>5</v>
      </c>
    </row>
    <row r="67" spans="1:31">
      <c r="A67" t="s">
        <v>407</v>
      </c>
      <c r="B67" t="s">
        <v>408</v>
      </c>
      <c r="C67" t="s">
        <v>409</v>
      </c>
      <c r="D67" t="s">
        <v>92</v>
      </c>
      <c r="E67">
        <v>40</v>
      </c>
      <c r="F67" t="s">
        <v>22</v>
      </c>
      <c r="G67" t="s">
        <v>16</v>
      </c>
      <c r="H67" t="s">
        <v>119</v>
      </c>
      <c r="J67" t="s">
        <v>120</v>
      </c>
      <c r="K67" t="s">
        <v>410</v>
      </c>
      <c r="L67" t="s">
        <v>214</v>
      </c>
      <c r="M67" t="s">
        <v>215</v>
      </c>
      <c r="N67">
        <v>1</v>
      </c>
      <c r="O67">
        <v>27.02</v>
      </c>
      <c r="P67">
        <v>27.02</v>
      </c>
      <c r="Q67">
        <v>0.2</v>
      </c>
      <c r="R67">
        <v>5.4</v>
      </c>
      <c r="S67">
        <v>21.62</v>
      </c>
      <c r="T67">
        <v>8.24</v>
      </c>
      <c r="U67">
        <v>13.38</v>
      </c>
      <c r="V67" t="s">
        <v>62</v>
      </c>
      <c r="W67" t="s">
        <v>114</v>
      </c>
      <c r="X67" t="s">
        <v>64</v>
      </c>
      <c r="Y67" t="s">
        <v>65</v>
      </c>
      <c r="Z67">
        <v>5.99</v>
      </c>
      <c r="AA67">
        <v>4</v>
      </c>
      <c r="AB67" t="s">
        <v>97</v>
      </c>
      <c r="AC67" t="s">
        <v>67</v>
      </c>
      <c r="AE67">
        <v>5</v>
      </c>
    </row>
    <row r="68" spans="1:31">
      <c r="A68" t="s">
        <v>411</v>
      </c>
      <c r="B68" t="s">
        <v>412</v>
      </c>
      <c r="C68" t="s">
        <v>413</v>
      </c>
      <c r="D68" t="s">
        <v>56</v>
      </c>
      <c r="E68">
        <v>30</v>
      </c>
      <c r="F68" t="s">
        <v>22</v>
      </c>
      <c r="G68" t="s">
        <v>19</v>
      </c>
      <c r="H68" t="s">
        <v>82</v>
      </c>
      <c r="J68" t="s">
        <v>229</v>
      </c>
      <c r="K68" t="s">
        <v>241</v>
      </c>
      <c r="L68" t="s">
        <v>196</v>
      </c>
      <c r="M68" t="s">
        <v>242</v>
      </c>
      <c r="N68">
        <v>1</v>
      </c>
      <c r="O68">
        <v>20.07</v>
      </c>
      <c r="P68">
        <v>20.07</v>
      </c>
      <c r="Q68">
        <v>0</v>
      </c>
      <c r="R68">
        <v>0</v>
      </c>
      <c r="S68">
        <v>20.07</v>
      </c>
      <c r="T68">
        <v>10.06</v>
      </c>
      <c r="U68">
        <v>10.01</v>
      </c>
      <c r="V68" t="s">
        <v>62</v>
      </c>
      <c r="W68" t="s">
        <v>114</v>
      </c>
      <c r="X68" t="s">
        <v>137</v>
      </c>
      <c r="Y68" t="s">
        <v>65</v>
      </c>
      <c r="Z68">
        <v>5.99</v>
      </c>
      <c r="AA68">
        <v>6</v>
      </c>
      <c r="AB68" t="s">
        <v>66</v>
      </c>
      <c r="AC68" t="s">
        <v>67</v>
      </c>
      <c r="AE68">
        <v>5</v>
      </c>
    </row>
    <row r="69" spans="1:31">
      <c r="A69" t="s">
        <v>414</v>
      </c>
      <c r="B69" t="s">
        <v>415</v>
      </c>
      <c r="C69" t="s">
        <v>416</v>
      </c>
      <c r="D69" t="s">
        <v>71</v>
      </c>
      <c r="E69">
        <v>27</v>
      </c>
      <c r="F69" t="s">
        <v>21</v>
      </c>
      <c r="G69" t="s">
        <v>17</v>
      </c>
      <c r="H69" t="s">
        <v>101</v>
      </c>
      <c r="J69" t="s">
        <v>417</v>
      </c>
      <c r="K69" t="s">
        <v>418</v>
      </c>
      <c r="L69" t="s">
        <v>60</v>
      </c>
      <c r="M69" t="s">
        <v>136</v>
      </c>
      <c r="N69">
        <v>1</v>
      </c>
      <c r="O69">
        <v>24.83</v>
      </c>
      <c r="P69">
        <v>24.83</v>
      </c>
      <c r="Q69">
        <v>0.1</v>
      </c>
      <c r="R69">
        <v>2.48</v>
      </c>
      <c r="S69">
        <v>22.35</v>
      </c>
      <c r="T69">
        <v>13.9</v>
      </c>
      <c r="U69">
        <v>8.45</v>
      </c>
      <c r="V69" t="s">
        <v>77</v>
      </c>
      <c r="W69" t="s">
        <v>78</v>
      </c>
      <c r="X69" t="s">
        <v>106</v>
      </c>
      <c r="Y69" t="s">
        <v>107</v>
      </c>
      <c r="Z69">
        <v>12.99</v>
      </c>
      <c r="AA69">
        <v>3</v>
      </c>
      <c r="AB69" t="s">
        <v>164</v>
      </c>
      <c r="AC69" t="s">
        <v>67</v>
      </c>
      <c r="AE69">
        <v>5</v>
      </c>
    </row>
    <row r="70" spans="1:31">
      <c r="A70" t="s">
        <v>419</v>
      </c>
      <c r="B70" t="s">
        <v>420</v>
      </c>
      <c r="C70" t="s">
        <v>421</v>
      </c>
      <c r="D70" t="s">
        <v>71</v>
      </c>
      <c r="E70">
        <v>44</v>
      </c>
      <c r="F70" t="s">
        <v>21</v>
      </c>
      <c r="G70" t="s">
        <v>17</v>
      </c>
      <c r="H70" t="s">
        <v>422</v>
      </c>
      <c r="J70" t="s">
        <v>423</v>
      </c>
      <c r="K70" t="s">
        <v>220</v>
      </c>
      <c r="L70" t="s">
        <v>60</v>
      </c>
      <c r="M70" t="s">
        <v>61</v>
      </c>
      <c r="N70">
        <v>1</v>
      </c>
      <c r="O70">
        <v>431.37</v>
      </c>
      <c r="P70">
        <v>431.37</v>
      </c>
      <c r="Q70">
        <v>0.05</v>
      </c>
      <c r="R70">
        <v>21.57</v>
      </c>
      <c r="S70">
        <v>409.8</v>
      </c>
      <c r="T70">
        <v>221.33</v>
      </c>
      <c r="U70">
        <v>188.47</v>
      </c>
      <c r="V70" t="s">
        <v>96</v>
      </c>
      <c r="W70" t="s">
        <v>78</v>
      </c>
      <c r="X70" t="s">
        <v>106</v>
      </c>
      <c r="Y70" t="s">
        <v>307</v>
      </c>
      <c r="Z70">
        <v>24.99</v>
      </c>
      <c r="AA70">
        <v>0</v>
      </c>
      <c r="AB70" t="s">
        <v>66</v>
      </c>
      <c r="AC70" t="s">
        <v>271</v>
      </c>
      <c r="AD70" t="s">
        <v>272</v>
      </c>
    </row>
    <row r="71" spans="1:31">
      <c r="A71" t="s">
        <v>424</v>
      </c>
      <c r="B71" t="s">
        <v>425</v>
      </c>
      <c r="C71" t="s">
        <v>426</v>
      </c>
      <c r="D71" t="s">
        <v>110</v>
      </c>
      <c r="E71">
        <v>49</v>
      </c>
      <c r="F71" t="s">
        <v>22</v>
      </c>
      <c r="G71" t="s">
        <v>19</v>
      </c>
      <c r="H71" t="s">
        <v>124</v>
      </c>
      <c r="I71" t="s">
        <v>427</v>
      </c>
      <c r="J71" t="s">
        <v>295</v>
      </c>
      <c r="K71" t="s">
        <v>365</v>
      </c>
      <c r="L71" t="s">
        <v>151</v>
      </c>
      <c r="M71" t="s">
        <v>152</v>
      </c>
      <c r="N71">
        <v>2</v>
      </c>
      <c r="O71">
        <v>9.24</v>
      </c>
      <c r="P71">
        <v>18.48</v>
      </c>
      <c r="Q71">
        <v>0</v>
      </c>
      <c r="R71">
        <v>0</v>
      </c>
      <c r="S71">
        <v>18.48</v>
      </c>
      <c r="T71">
        <v>12.41</v>
      </c>
      <c r="U71">
        <v>6.07</v>
      </c>
      <c r="V71" t="s">
        <v>221</v>
      </c>
      <c r="W71" t="s">
        <v>78</v>
      </c>
      <c r="X71" t="s">
        <v>64</v>
      </c>
      <c r="Y71" t="s">
        <v>107</v>
      </c>
      <c r="Z71">
        <v>12.99</v>
      </c>
      <c r="AA71">
        <v>2</v>
      </c>
      <c r="AB71" t="s">
        <v>66</v>
      </c>
      <c r="AC71" t="s">
        <v>67</v>
      </c>
    </row>
    <row r="72" spans="1:31">
      <c r="A72" t="s">
        <v>428</v>
      </c>
      <c r="B72" t="s">
        <v>425</v>
      </c>
      <c r="C72" t="s">
        <v>429</v>
      </c>
      <c r="D72" t="s">
        <v>92</v>
      </c>
      <c r="E72">
        <v>47</v>
      </c>
      <c r="F72" t="s">
        <v>21</v>
      </c>
      <c r="G72" t="s">
        <v>15</v>
      </c>
      <c r="H72" t="s">
        <v>189</v>
      </c>
      <c r="J72" t="s">
        <v>430</v>
      </c>
      <c r="K72" t="s">
        <v>431</v>
      </c>
      <c r="L72" t="s">
        <v>196</v>
      </c>
      <c r="M72" t="s">
        <v>197</v>
      </c>
      <c r="N72">
        <v>1</v>
      </c>
      <c r="O72">
        <v>56.07</v>
      </c>
      <c r="P72">
        <v>56.07</v>
      </c>
      <c r="Q72">
        <v>0.1</v>
      </c>
      <c r="R72">
        <v>5.61</v>
      </c>
      <c r="S72">
        <v>50.46</v>
      </c>
      <c r="T72">
        <v>26.45</v>
      </c>
      <c r="U72">
        <v>24.01</v>
      </c>
      <c r="V72" t="s">
        <v>62</v>
      </c>
      <c r="W72" t="s">
        <v>63</v>
      </c>
      <c r="X72" t="s">
        <v>137</v>
      </c>
      <c r="Y72" t="s">
        <v>65</v>
      </c>
      <c r="Z72">
        <v>5.99</v>
      </c>
      <c r="AA72">
        <v>4</v>
      </c>
      <c r="AB72" t="s">
        <v>247</v>
      </c>
      <c r="AC72" t="s">
        <v>67</v>
      </c>
      <c r="AE72">
        <v>5</v>
      </c>
    </row>
    <row r="73" spans="1:31">
      <c r="A73" t="s">
        <v>432</v>
      </c>
      <c r="B73" t="s">
        <v>433</v>
      </c>
      <c r="C73" t="s">
        <v>434</v>
      </c>
      <c r="D73" t="s">
        <v>92</v>
      </c>
      <c r="E73">
        <v>48</v>
      </c>
      <c r="F73" t="s">
        <v>21</v>
      </c>
      <c r="G73" t="s">
        <v>15</v>
      </c>
      <c r="H73" t="s">
        <v>435</v>
      </c>
      <c r="J73" t="s">
        <v>436</v>
      </c>
      <c r="K73" t="s">
        <v>437</v>
      </c>
      <c r="L73" t="s">
        <v>196</v>
      </c>
      <c r="M73" t="s">
        <v>197</v>
      </c>
      <c r="N73">
        <v>1</v>
      </c>
      <c r="O73">
        <v>28.09</v>
      </c>
      <c r="P73">
        <v>28.09</v>
      </c>
      <c r="Q73">
        <v>0.15</v>
      </c>
      <c r="R73">
        <v>4.21</v>
      </c>
      <c r="S73">
        <v>23.88</v>
      </c>
      <c r="T73">
        <v>11.84</v>
      </c>
      <c r="U73">
        <v>12.04</v>
      </c>
      <c r="V73" t="s">
        <v>77</v>
      </c>
      <c r="W73" t="s">
        <v>78</v>
      </c>
      <c r="X73" t="s">
        <v>64</v>
      </c>
      <c r="Y73" t="s">
        <v>65</v>
      </c>
      <c r="Z73">
        <v>5.99</v>
      </c>
      <c r="AA73">
        <v>6</v>
      </c>
      <c r="AB73" t="s">
        <v>192</v>
      </c>
      <c r="AC73" t="s">
        <v>67</v>
      </c>
      <c r="AE73">
        <v>5</v>
      </c>
    </row>
    <row r="74" spans="1:31">
      <c r="A74" t="s">
        <v>438</v>
      </c>
      <c r="B74" t="s">
        <v>439</v>
      </c>
      <c r="C74" t="s">
        <v>440</v>
      </c>
      <c r="D74" t="s">
        <v>110</v>
      </c>
      <c r="E74">
        <v>44</v>
      </c>
      <c r="F74" t="s">
        <v>22</v>
      </c>
      <c r="G74" t="s">
        <v>19</v>
      </c>
      <c r="H74" t="s">
        <v>82</v>
      </c>
      <c r="J74" t="s">
        <v>83</v>
      </c>
      <c r="K74" t="s">
        <v>441</v>
      </c>
      <c r="L74" t="s">
        <v>177</v>
      </c>
      <c r="M74" t="s">
        <v>178</v>
      </c>
      <c r="N74">
        <v>2</v>
      </c>
      <c r="O74">
        <v>65.1</v>
      </c>
      <c r="P74">
        <v>130.2</v>
      </c>
      <c r="Q74">
        <v>0.1</v>
      </c>
      <c r="R74">
        <v>13.02</v>
      </c>
      <c r="S74">
        <v>117.18</v>
      </c>
      <c r="T74">
        <v>69.48</v>
      </c>
      <c r="U74">
        <v>47.7</v>
      </c>
      <c r="V74" t="s">
        <v>77</v>
      </c>
      <c r="W74" t="s">
        <v>78</v>
      </c>
      <c r="X74" t="s">
        <v>64</v>
      </c>
      <c r="Y74" t="s">
        <v>65</v>
      </c>
      <c r="Z74">
        <v>0</v>
      </c>
      <c r="AA74">
        <v>7</v>
      </c>
      <c r="AB74" t="s">
        <v>66</v>
      </c>
      <c r="AC74" t="s">
        <v>67</v>
      </c>
    </row>
    <row r="75" spans="1:31">
      <c r="A75" t="s">
        <v>442</v>
      </c>
      <c r="B75" t="s">
        <v>443</v>
      </c>
      <c r="C75" t="s">
        <v>194</v>
      </c>
      <c r="D75" t="s">
        <v>71</v>
      </c>
      <c r="E75">
        <v>30</v>
      </c>
      <c r="F75" t="s">
        <v>22</v>
      </c>
      <c r="G75" t="s">
        <v>19</v>
      </c>
      <c r="H75" t="s">
        <v>148</v>
      </c>
      <c r="J75" t="s">
        <v>149</v>
      </c>
      <c r="K75" t="s">
        <v>183</v>
      </c>
      <c r="L75" t="s">
        <v>177</v>
      </c>
      <c r="M75" t="s">
        <v>184</v>
      </c>
      <c r="N75">
        <v>3</v>
      </c>
      <c r="O75">
        <v>16.99</v>
      </c>
      <c r="P75">
        <v>50.97</v>
      </c>
      <c r="Q75">
        <v>0.3</v>
      </c>
      <c r="R75">
        <v>15.29</v>
      </c>
      <c r="S75">
        <v>35.68</v>
      </c>
      <c r="T75">
        <v>22.44</v>
      </c>
      <c r="U75">
        <v>13.24</v>
      </c>
      <c r="V75" t="s">
        <v>77</v>
      </c>
      <c r="W75" t="s">
        <v>78</v>
      </c>
      <c r="X75" t="s">
        <v>106</v>
      </c>
      <c r="Y75" t="s">
        <v>65</v>
      </c>
      <c r="Z75">
        <v>5.99</v>
      </c>
      <c r="AA75">
        <v>6</v>
      </c>
      <c r="AB75" t="s">
        <v>185</v>
      </c>
      <c r="AC75" t="s">
        <v>67</v>
      </c>
      <c r="AE75">
        <v>5</v>
      </c>
    </row>
    <row r="76" spans="1:31">
      <c r="A76" t="s">
        <v>444</v>
      </c>
      <c r="B76" t="s">
        <v>445</v>
      </c>
      <c r="C76" t="s">
        <v>446</v>
      </c>
      <c r="D76" t="s">
        <v>92</v>
      </c>
      <c r="E76">
        <v>43</v>
      </c>
      <c r="F76" t="s">
        <v>22</v>
      </c>
      <c r="G76" t="s">
        <v>15</v>
      </c>
      <c r="H76" t="s">
        <v>374</v>
      </c>
      <c r="J76" t="s">
        <v>374</v>
      </c>
      <c r="K76" t="s">
        <v>447</v>
      </c>
      <c r="L76" t="s">
        <v>85</v>
      </c>
      <c r="M76" t="s">
        <v>226</v>
      </c>
      <c r="N76">
        <v>2</v>
      </c>
      <c r="O76">
        <v>111.8</v>
      </c>
      <c r="P76">
        <v>223.6</v>
      </c>
      <c r="Q76">
        <v>0.15</v>
      </c>
      <c r="R76">
        <v>33.54</v>
      </c>
      <c r="S76">
        <v>190.06</v>
      </c>
      <c r="T76">
        <v>162.16</v>
      </c>
      <c r="U76">
        <v>27.9</v>
      </c>
      <c r="V76" t="s">
        <v>62</v>
      </c>
      <c r="W76" t="s">
        <v>78</v>
      </c>
      <c r="X76" t="s">
        <v>64</v>
      </c>
      <c r="Y76" t="s">
        <v>65</v>
      </c>
      <c r="Z76">
        <v>0</v>
      </c>
      <c r="AA76">
        <v>7</v>
      </c>
      <c r="AB76" t="s">
        <v>247</v>
      </c>
      <c r="AC76" t="s">
        <v>67</v>
      </c>
    </row>
    <row r="77" spans="1:31">
      <c r="A77" t="s">
        <v>448</v>
      </c>
      <c r="B77" t="s">
        <v>449</v>
      </c>
      <c r="C77" t="s">
        <v>450</v>
      </c>
      <c r="D77" t="s">
        <v>71</v>
      </c>
      <c r="E77">
        <v>35</v>
      </c>
      <c r="F77" t="s">
        <v>21</v>
      </c>
      <c r="G77" t="s">
        <v>19</v>
      </c>
      <c r="H77" t="s">
        <v>124</v>
      </c>
      <c r="I77" t="s">
        <v>427</v>
      </c>
      <c r="J77" t="s">
        <v>126</v>
      </c>
      <c r="K77" t="s">
        <v>451</v>
      </c>
      <c r="L77" t="s">
        <v>214</v>
      </c>
      <c r="M77" t="s">
        <v>215</v>
      </c>
      <c r="N77">
        <v>3</v>
      </c>
      <c r="O77">
        <v>51.43</v>
      </c>
      <c r="P77">
        <v>154.29</v>
      </c>
      <c r="Q77">
        <v>0</v>
      </c>
      <c r="R77">
        <v>0</v>
      </c>
      <c r="S77">
        <v>154.29</v>
      </c>
      <c r="T77">
        <v>50.42</v>
      </c>
      <c r="U77">
        <v>103.87</v>
      </c>
      <c r="V77" t="s">
        <v>77</v>
      </c>
      <c r="W77" t="s">
        <v>78</v>
      </c>
      <c r="X77" t="s">
        <v>106</v>
      </c>
      <c r="Y77" t="s">
        <v>65</v>
      </c>
      <c r="Z77">
        <v>0</v>
      </c>
      <c r="AA77">
        <v>5</v>
      </c>
      <c r="AB77" t="s">
        <v>97</v>
      </c>
      <c r="AC77" t="s">
        <v>67</v>
      </c>
      <c r="AE77">
        <v>5</v>
      </c>
    </row>
    <row r="78" spans="1:31">
      <c r="A78" t="s">
        <v>452</v>
      </c>
      <c r="B78" t="s">
        <v>453</v>
      </c>
      <c r="C78" t="s">
        <v>454</v>
      </c>
      <c r="D78" t="s">
        <v>71</v>
      </c>
      <c r="E78">
        <v>46</v>
      </c>
      <c r="F78" t="s">
        <v>22</v>
      </c>
      <c r="G78" t="s">
        <v>19</v>
      </c>
      <c r="H78" t="s">
        <v>82</v>
      </c>
      <c r="J78" t="s">
        <v>83</v>
      </c>
      <c r="K78" t="s">
        <v>269</v>
      </c>
      <c r="L78" t="s">
        <v>177</v>
      </c>
      <c r="M78" t="s">
        <v>270</v>
      </c>
      <c r="N78">
        <v>2</v>
      </c>
      <c r="O78">
        <v>145.23</v>
      </c>
      <c r="P78">
        <v>290.46</v>
      </c>
      <c r="Q78">
        <v>0.15</v>
      </c>
      <c r="R78">
        <v>43.57</v>
      </c>
      <c r="S78">
        <v>246.89</v>
      </c>
      <c r="T78">
        <v>150.63</v>
      </c>
      <c r="U78">
        <v>96.26</v>
      </c>
      <c r="V78" t="s">
        <v>77</v>
      </c>
      <c r="W78" t="s">
        <v>78</v>
      </c>
      <c r="X78" t="s">
        <v>64</v>
      </c>
      <c r="Y78" t="s">
        <v>65</v>
      </c>
      <c r="Z78">
        <v>0</v>
      </c>
      <c r="AA78">
        <v>5</v>
      </c>
      <c r="AB78" t="s">
        <v>97</v>
      </c>
      <c r="AC78" t="s">
        <v>67</v>
      </c>
      <c r="AE78">
        <v>5</v>
      </c>
    </row>
    <row r="79" spans="1:31">
      <c r="A79" t="s">
        <v>455</v>
      </c>
      <c r="B79" t="s">
        <v>456</v>
      </c>
      <c r="C79" t="s">
        <v>457</v>
      </c>
      <c r="D79" t="s">
        <v>92</v>
      </c>
      <c r="E79">
        <v>52</v>
      </c>
      <c r="F79" t="s">
        <v>21</v>
      </c>
      <c r="G79" t="s">
        <v>19</v>
      </c>
      <c r="H79" t="s">
        <v>82</v>
      </c>
      <c r="J79" t="s">
        <v>229</v>
      </c>
      <c r="K79" t="s">
        <v>458</v>
      </c>
      <c r="L79" t="s">
        <v>214</v>
      </c>
      <c r="M79" t="s">
        <v>215</v>
      </c>
      <c r="N79">
        <v>1</v>
      </c>
      <c r="O79">
        <v>143.46</v>
      </c>
      <c r="P79">
        <v>143.46</v>
      </c>
      <c r="Q79">
        <v>0</v>
      </c>
      <c r="R79">
        <v>0</v>
      </c>
      <c r="S79">
        <v>143.46</v>
      </c>
      <c r="T79">
        <v>43.9</v>
      </c>
      <c r="U79">
        <v>99.56</v>
      </c>
      <c r="V79" t="s">
        <v>221</v>
      </c>
      <c r="W79" t="s">
        <v>78</v>
      </c>
      <c r="X79" t="s">
        <v>87</v>
      </c>
      <c r="Y79" t="s">
        <v>253</v>
      </c>
      <c r="Z79">
        <v>19.99</v>
      </c>
      <c r="AA79">
        <v>1</v>
      </c>
      <c r="AB79" t="s">
        <v>97</v>
      </c>
      <c r="AC79" t="s">
        <v>271</v>
      </c>
      <c r="AD79" t="s">
        <v>272</v>
      </c>
    </row>
    <row r="80" spans="1:31">
      <c r="A80" t="s">
        <v>459</v>
      </c>
      <c r="B80" t="s">
        <v>460</v>
      </c>
      <c r="C80" t="s">
        <v>461</v>
      </c>
      <c r="D80" t="s">
        <v>71</v>
      </c>
      <c r="E80">
        <v>25</v>
      </c>
      <c r="F80" t="s">
        <v>21</v>
      </c>
      <c r="G80" t="s">
        <v>19</v>
      </c>
      <c r="H80" t="s">
        <v>124</v>
      </c>
      <c r="I80" t="s">
        <v>462</v>
      </c>
      <c r="J80" t="s">
        <v>168</v>
      </c>
      <c r="K80" t="s">
        <v>135</v>
      </c>
      <c r="L80" t="s">
        <v>60</v>
      </c>
      <c r="M80" t="s">
        <v>136</v>
      </c>
      <c r="N80">
        <v>4</v>
      </c>
      <c r="O80">
        <v>79.42</v>
      </c>
      <c r="P80">
        <v>317.68</v>
      </c>
      <c r="Q80">
        <v>0</v>
      </c>
      <c r="R80">
        <v>0</v>
      </c>
      <c r="S80">
        <v>317.68</v>
      </c>
      <c r="T80">
        <v>218.69</v>
      </c>
      <c r="U80">
        <v>98.99</v>
      </c>
      <c r="V80" t="s">
        <v>77</v>
      </c>
      <c r="W80" t="s">
        <v>78</v>
      </c>
      <c r="X80" t="s">
        <v>115</v>
      </c>
      <c r="Y80" t="s">
        <v>65</v>
      </c>
      <c r="Z80">
        <v>0</v>
      </c>
      <c r="AA80">
        <v>5</v>
      </c>
      <c r="AB80" t="s">
        <v>185</v>
      </c>
      <c r="AC80" t="s">
        <v>67</v>
      </c>
      <c r="AE80">
        <v>4</v>
      </c>
    </row>
    <row r="81" spans="1:31">
      <c r="A81" t="s">
        <v>463</v>
      </c>
      <c r="B81" t="s">
        <v>464</v>
      </c>
      <c r="C81" t="s">
        <v>465</v>
      </c>
      <c r="D81" t="s">
        <v>92</v>
      </c>
      <c r="E81">
        <v>54</v>
      </c>
      <c r="F81" t="s">
        <v>21</v>
      </c>
      <c r="G81" t="s">
        <v>15</v>
      </c>
      <c r="H81" t="s">
        <v>93</v>
      </c>
      <c r="J81" t="s">
        <v>93</v>
      </c>
      <c r="K81" t="s">
        <v>466</v>
      </c>
      <c r="L81" t="s">
        <v>60</v>
      </c>
      <c r="M81" t="s">
        <v>61</v>
      </c>
      <c r="N81">
        <v>1</v>
      </c>
      <c r="O81">
        <v>524.84</v>
      </c>
      <c r="P81">
        <v>524.84</v>
      </c>
      <c r="Q81">
        <v>0</v>
      </c>
      <c r="R81">
        <v>0</v>
      </c>
      <c r="S81">
        <v>524.84</v>
      </c>
      <c r="T81">
        <v>296.8</v>
      </c>
      <c r="U81">
        <v>228.04</v>
      </c>
      <c r="V81" t="s">
        <v>96</v>
      </c>
      <c r="W81" t="s">
        <v>114</v>
      </c>
      <c r="X81" t="s">
        <v>64</v>
      </c>
      <c r="Y81" t="s">
        <v>253</v>
      </c>
      <c r="Z81">
        <v>19.99</v>
      </c>
      <c r="AA81">
        <v>1</v>
      </c>
      <c r="AB81" t="s">
        <v>66</v>
      </c>
      <c r="AC81" t="s">
        <v>67</v>
      </c>
      <c r="AE81">
        <v>5</v>
      </c>
    </row>
    <row r="82" spans="1:31">
      <c r="A82" t="s">
        <v>467</v>
      </c>
      <c r="B82" t="s">
        <v>468</v>
      </c>
      <c r="C82" t="s">
        <v>203</v>
      </c>
      <c r="D82" t="s">
        <v>92</v>
      </c>
      <c r="E82">
        <v>34</v>
      </c>
      <c r="F82" t="s">
        <v>22</v>
      </c>
      <c r="G82" t="s">
        <v>19</v>
      </c>
      <c r="H82" t="s">
        <v>82</v>
      </c>
      <c r="J82" t="s">
        <v>156</v>
      </c>
      <c r="K82" t="s">
        <v>314</v>
      </c>
      <c r="L82" t="s">
        <v>85</v>
      </c>
      <c r="M82" t="s">
        <v>86</v>
      </c>
      <c r="N82">
        <v>1</v>
      </c>
      <c r="O82">
        <v>159.15</v>
      </c>
      <c r="P82">
        <v>159.15</v>
      </c>
      <c r="Q82">
        <v>0.15</v>
      </c>
      <c r="R82">
        <v>23.87</v>
      </c>
      <c r="S82">
        <v>135.28</v>
      </c>
      <c r="T82">
        <v>113.89</v>
      </c>
      <c r="U82">
        <v>21.39</v>
      </c>
      <c r="V82" t="s">
        <v>77</v>
      </c>
      <c r="W82" t="s">
        <v>78</v>
      </c>
      <c r="X82" t="s">
        <v>137</v>
      </c>
      <c r="Y82" t="s">
        <v>107</v>
      </c>
      <c r="Z82">
        <v>12.99</v>
      </c>
      <c r="AA82">
        <v>3</v>
      </c>
      <c r="AB82" t="s">
        <v>66</v>
      </c>
      <c r="AC82" t="s">
        <v>67</v>
      </c>
      <c r="AE82">
        <v>5</v>
      </c>
    </row>
    <row r="83" spans="1:31">
      <c r="A83" t="s">
        <v>469</v>
      </c>
      <c r="B83" t="s">
        <v>470</v>
      </c>
      <c r="C83" t="s">
        <v>471</v>
      </c>
      <c r="D83" t="s">
        <v>110</v>
      </c>
      <c r="E83">
        <v>31</v>
      </c>
      <c r="F83" t="s">
        <v>22</v>
      </c>
      <c r="G83" t="s">
        <v>16</v>
      </c>
      <c r="H83" t="s">
        <v>472</v>
      </c>
      <c r="J83" t="s">
        <v>473</v>
      </c>
      <c r="K83" t="s">
        <v>353</v>
      </c>
      <c r="L83" t="s">
        <v>85</v>
      </c>
      <c r="M83" t="s">
        <v>354</v>
      </c>
      <c r="N83">
        <v>1</v>
      </c>
      <c r="O83">
        <v>348.37</v>
      </c>
      <c r="P83">
        <v>348.37</v>
      </c>
      <c r="Q83">
        <v>0</v>
      </c>
      <c r="R83">
        <v>0</v>
      </c>
      <c r="S83">
        <v>348.37</v>
      </c>
      <c r="T83">
        <v>305.35</v>
      </c>
      <c r="U83">
        <v>43.02</v>
      </c>
      <c r="V83" t="s">
        <v>77</v>
      </c>
      <c r="W83" t="s">
        <v>78</v>
      </c>
      <c r="X83" t="s">
        <v>64</v>
      </c>
      <c r="Y83" t="s">
        <v>65</v>
      </c>
      <c r="Z83">
        <v>0</v>
      </c>
      <c r="AA83">
        <v>6</v>
      </c>
      <c r="AB83" t="s">
        <v>192</v>
      </c>
      <c r="AC83" t="s">
        <v>271</v>
      </c>
      <c r="AD83" t="s">
        <v>474</v>
      </c>
    </row>
    <row r="84" spans="1:31">
      <c r="A84" t="s">
        <v>475</v>
      </c>
      <c r="B84" t="s">
        <v>476</v>
      </c>
      <c r="C84" t="s">
        <v>405</v>
      </c>
      <c r="D84" t="s">
        <v>110</v>
      </c>
      <c r="E84">
        <v>78</v>
      </c>
      <c r="F84" t="s">
        <v>22</v>
      </c>
      <c r="G84" t="s">
        <v>19</v>
      </c>
      <c r="H84" t="s">
        <v>148</v>
      </c>
      <c r="J84" t="s">
        <v>265</v>
      </c>
      <c r="K84" t="s">
        <v>477</v>
      </c>
      <c r="L84" t="s">
        <v>177</v>
      </c>
      <c r="M84" t="s">
        <v>478</v>
      </c>
      <c r="N84">
        <v>5</v>
      </c>
      <c r="O84">
        <v>255.76</v>
      </c>
      <c r="P84">
        <v>1278.8</v>
      </c>
      <c r="Q84">
        <v>0.1</v>
      </c>
      <c r="R84">
        <v>127.88</v>
      </c>
      <c r="S84">
        <v>1150.92</v>
      </c>
      <c r="T84">
        <v>714.26</v>
      </c>
      <c r="U84">
        <v>436.66</v>
      </c>
      <c r="V84" t="s">
        <v>62</v>
      </c>
      <c r="W84" t="s">
        <v>114</v>
      </c>
      <c r="X84" t="s">
        <v>64</v>
      </c>
      <c r="Y84" t="s">
        <v>107</v>
      </c>
      <c r="Z84">
        <v>12.99</v>
      </c>
      <c r="AA84">
        <v>2</v>
      </c>
      <c r="AB84" t="s">
        <v>66</v>
      </c>
      <c r="AC84" t="s">
        <v>67</v>
      </c>
    </row>
    <row r="85" spans="1:31">
      <c r="A85" t="s">
        <v>479</v>
      </c>
      <c r="B85" t="s">
        <v>480</v>
      </c>
      <c r="C85" t="s">
        <v>471</v>
      </c>
      <c r="D85" t="s">
        <v>71</v>
      </c>
      <c r="E85">
        <v>31</v>
      </c>
      <c r="F85" t="s">
        <v>22</v>
      </c>
      <c r="G85" t="s">
        <v>16</v>
      </c>
      <c r="H85" t="s">
        <v>472</v>
      </c>
      <c r="J85" t="s">
        <v>473</v>
      </c>
      <c r="K85" t="s">
        <v>481</v>
      </c>
      <c r="L85" t="s">
        <v>85</v>
      </c>
      <c r="M85" t="s">
        <v>86</v>
      </c>
      <c r="N85">
        <v>1</v>
      </c>
      <c r="O85">
        <v>171.45</v>
      </c>
      <c r="P85">
        <v>171.45</v>
      </c>
      <c r="Q85">
        <v>0.1</v>
      </c>
      <c r="R85">
        <v>17.14</v>
      </c>
      <c r="S85">
        <v>154.31</v>
      </c>
      <c r="T85">
        <v>125.64</v>
      </c>
      <c r="U85">
        <v>28.67</v>
      </c>
      <c r="V85" t="s">
        <v>96</v>
      </c>
      <c r="W85" t="s">
        <v>63</v>
      </c>
      <c r="X85" t="s">
        <v>64</v>
      </c>
      <c r="Y85" t="s">
        <v>65</v>
      </c>
      <c r="Z85">
        <v>0</v>
      </c>
      <c r="AA85">
        <v>5</v>
      </c>
      <c r="AB85" t="s">
        <v>281</v>
      </c>
      <c r="AC85" t="s">
        <v>67</v>
      </c>
      <c r="AE85">
        <v>5</v>
      </c>
    </row>
    <row r="86" spans="1:31">
      <c r="A86" t="s">
        <v>482</v>
      </c>
      <c r="B86" t="s">
        <v>483</v>
      </c>
      <c r="C86" t="s">
        <v>385</v>
      </c>
      <c r="D86" t="s">
        <v>56</v>
      </c>
      <c r="E86">
        <v>22</v>
      </c>
      <c r="F86" t="s">
        <v>21</v>
      </c>
      <c r="G86" t="s">
        <v>16</v>
      </c>
      <c r="H86" t="s">
        <v>119</v>
      </c>
      <c r="J86" t="s">
        <v>276</v>
      </c>
      <c r="K86" t="s">
        <v>204</v>
      </c>
      <c r="L86" t="s">
        <v>196</v>
      </c>
      <c r="M86" t="s">
        <v>205</v>
      </c>
      <c r="N86">
        <v>1</v>
      </c>
      <c r="O86">
        <v>78.02</v>
      </c>
      <c r="P86">
        <v>78.02</v>
      </c>
      <c r="Q86">
        <v>0</v>
      </c>
      <c r="R86">
        <v>0</v>
      </c>
      <c r="S86">
        <v>78.02</v>
      </c>
      <c r="T86">
        <v>30.37</v>
      </c>
      <c r="U86">
        <v>47.65</v>
      </c>
      <c r="V86" t="s">
        <v>62</v>
      </c>
      <c r="W86" t="s">
        <v>114</v>
      </c>
      <c r="X86" t="s">
        <v>64</v>
      </c>
      <c r="Y86" t="s">
        <v>65</v>
      </c>
      <c r="Z86">
        <v>0</v>
      </c>
      <c r="AA86">
        <v>5</v>
      </c>
      <c r="AB86" t="s">
        <v>247</v>
      </c>
      <c r="AC86" t="s">
        <v>67</v>
      </c>
      <c r="AE86">
        <v>4</v>
      </c>
    </row>
    <row r="87" spans="1:31">
      <c r="A87" t="s">
        <v>484</v>
      </c>
      <c r="B87" t="s">
        <v>485</v>
      </c>
      <c r="C87" t="s">
        <v>401</v>
      </c>
      <c r="D87" t="s">
        <v>110</v>
      </c>
      <c r="E87">
        <v>48</v>
      </c>
      <c r="F87" t="s">
        <v>22</v>
      </c>
      <c r="G87" t="s">
        <v>16</v>
      </c>
      <c r="H87" t="s">
        <v>300</v>
      </c>
      <c r="J87" t="s">
        <v>313</v>
      </c>
      <c r="K87" t="s">
        <v>195</v>
      </c>
      <c r="L87" t="s">
        <v>196</v>
      </c>
      <c r="M87" t="s">
        <v>197</v>
      </c>
      <c r="N87">
        <v>1</v>
      </c>
      <c r="O87">
        <v>20.16</v>
      </c>
      <c r="P87">
        <v>20.16</v>
      </c>
      <c r="Q87">
        <v>0.2</v>
      </c>
      <c r="R87">
        <v>4.03</v>
      </c>
      <c r="S87">
        <v>16.13</v>
      </c>
      <c r="T87">
        <v>6.64</v>
      </c>
      <c r="U87">
        <v>9.49</v>
      </c>
      <c r="V87" t="s">
        <v>221</v>
      </c>
      <c r="W87" t="s">
        <v>114</v>
      </c>
      <c r="X87" t="s">
        <v>115</v>
      </c>
      <c r="Y87" t="s">
        <v>253</v>
      </c>
      <c r="Z87">
        <v>19.99</v>
      </c>
      <c r="AA87">
        <v>1</v>
      </c>
      <c r="AB87" t="s">
        <v>66</v>
      </c>
      <c r="AC87" t="s">
        <v>67</v>
      </c>
      <c r="AE87">
        <v>4</v>
      </c>
    </row>
    <row r="88" spans="1:31">
      <c r="A88" t="s">
        <v>486</v>
      </c>
      <c r="B88" t="s">
        <v>487</v>
      </c>
      <c r="C88" t="s">
        <v>488</v>
      </c>
      <c r="D88" t="s">
        <v>71</v>
      </c>
      <c r="E88">
        <v>58</v>
      </c>
      <c r="F88" t="s">
        <v>21</v>
      </c>
      <c r="G88" t="s">
        <v>15</v>
      </c>
      <c r="H88" t="s">
        <v>93</v>
      </c>
      <c r="J88" t="s">
        <v>93</v>
      </c>
      <c r="K88" t="s">
        <v>489</v>
      </c>
      <c r="L88" t="s">
        <v>60</v>
      </c>
      <c r="M88" t="s">
        <v>490</v>
      </c>
      <c r="N88">
        <v>5</v>
      </c>
      <c r="O88">
        <v>448.34</v>
      </c>
      <c r="P88">
        <v>2241.7</v>
      </c>
      <c r="Q88">
        <v>0.1</v>
      </c>
      <c r="R88">
        <v>224.17</v>
      </c>
      <c r="S88">
        <v>2017.53</v>
      </c>
      <c r="T88">
        <v>1298.68</v>
      </c>
      <c r="U88">
        <v>718.85</v>
      </c>
      <c r="V88" t="s">
        <v>62</v>
      </c>
      <c r="W88" t="s">
        <v>78</v>
      </c>
      <c r="X88" t="s">
        <v>64</v>
      </c>
      <c r="Y88" t="s">
        <v>107</v>
      </c>
      <c r="Z88">
        <v>12.99</v>
      </c>
      <c r="AA88">
        <v>3</v>
      </c>
      <c r="AB88" t="s">
        <v>164</v>
      </c>
      <c r="AC88" t="s">
        <v>67</v>
      </c>
      <c r="AE88">
        <v>4</v>
      </c>
    </row>
    <row r="89" spans="1:31">
      <c r="A89" t="s">
        <v>491</v>
      </c>
      <c r="B89" t="s">
        <v>492</v>
      </c>
      <c r="C89" t="s">
        <v>493</v>
      </c>
      <c r="D89" t="s">
        <v>92</v>
      </c>
      <c r="E89">
        <v>31</v>
      </c>
      <c r="F89" t="s">
        <v>23</v>
      </c>
      <c r="G89" t="s">
        <v>15</v>
      </c>
      <c r="H89" t="s">
        <v>435</v>
      </c>
      <c r="J89" t="s">
        <v>494</v>
      </c>
      <c r="K89" t="s">
        <v>495</v>
      </c>
      <c r="L89" t="s">
        <v>85</v>
      </c>
      <c r="M89" t="s">
        <v>86</v>
      </c>
      <c r="N89">
        <v>2</v>
      </c>
      <c r="O89">
        <v>1145.28</v>
      </c>
      <c r="P89">
        <v>2290.56</v>
      </c>
      <c r="Q89">
        <v>0</v>
      </c>
      <c r="R89">
        <v>0</v>
      </c>
      <c r="S89">
        <v>2290.56</v>
      </c>
      <c r="T89">
        <v>1818.02</v>
      </c>
      <c r="U89">
        <v>472.54</v>
      </c>
      <c r="V89" t="s">
        <v>62</v>
      </c>
      <c r="W89" t="s">
        <v>78</v>
      </c>
      <c r="X89" t="s">
        <v>87</v>
      </c>
      <c r="Y89" t="s">
        <v>107</v>
      </c>
      <c r="Z89">
        <v>12.99</v>
      </c>
      <c r="AA89">
        <v>2</v>
      </c>
      <c r="AB89" t="s">
        <v>192</v>
      </c>
      <c r="AC89" t="s">
        <v>67</v>
      </c>
    </row>
    <row r="90" spans="1:31">
      <c r="A90" t="s">
        <v>496</v>
      </c>
      <c r="B90" t="s">
        <v>497</v>
      </c>
      <c r="C90" t="s">
        <v>498</v>
      </c>
      <c r="D90" t="s">
        <v>110</v>
      </c>
      <c r="E90">
        <v>53</v>
      </c>
      <c r="F90" t="s">
        <v>22</v>
      </c>
      <c r="G90" t="s">
        <v>19</v>
      </c>
      <c r="H90" t="s">
        <v>82</v>
      </c>
      <c r="J90" t="s">
        <v>156</v>
      </c>
      <c r="K90" t="s">
        <v>499</v>
      </c>
      <c r="L90" t="s">
        <v>85</v>
      </c>
      <c r="M90" t="s">
        <v>226</v>
      </c>
      <c r="N90">
        <v>1</v>
      </c>
      <c r="O90">
        <v>361.66</v>
      </c>
      <c r="P90">
        <v>361.66</v>
      </c>
      <c r="Q90">
        <v>0.1</v>
      </c>
      <c r="R90">
        <v>36.17</v>
      </c>
      <c r="S90">
        <v>325.49</v>
      </c>
      <c r="T90">
        <v>285.81</v>
      </c>
      <c r="U90">
        <v>39.68</v>
      </c>
      <c r="V90" t="s">
        <v>304</v>
      </c>
      <c r="W90" t="s">
        <v>114</v>
      </c>
      <c r="X90" t="s">
        <v>106</v>
      </c>
      <c r="Y90" t="s">
        <v>107</v>
      </c>
      <c r="Z90">
        <v>12.99</v>
      </c>
      <c r="AA90">
        <v>2</v>
      </c>
      <c r="AB90" t="s">
        <v>88</v>
      </c>
      <c r="AC90" t="s">
        <v>67</v>
      </c>
      <c r="AE90">
        <v>4</v>
      </c>
    </row>
    <row r="91" spans="1:31">
      <c r="A91" t="s">
        <v>500</v>
      </c>
      <c r="B91" t="s">
        <v>501</v>
      </c>
      <c r="C91" t="s">
        <v>502</v>
      </c>
      <c r="D91" t="s">
        <v>110</v>
      </c>
      <c r="E91">
        <v>26</v>
      </c>
      <c r="F91" t="s">
        <v>21</v>
      </c>
      <c r="G91" t="s">
        <v>16</v>
      </c>
      <c r="H91" t="s">
        <v>503</v>
      </c>
      <c r="J91" t="s">
        <v>504</v>
      </c>
      <c r="K91" t="s">
        <v>505</v>
      </c>
      <c r="L91" t="s">
        <v>104</v>
      </c>
      <c r="M91" t="s">
        <v>361</v>
      </c>
      <c r="N91">
        <v>1</v>
      </c>
      <c r="O91">
        <v>217.58</v>
      </c>
      <c r="P91">
        <v>217.58</v>
      </c>
      <c r="Q91">
        <v>0.2</v>
      </c>
      <c r="R91">
        <v>43.52</v>
      </c>
      <c r="S91">
        <v>174.06</v>
      </c>
      <c r="T91">
        <v>105.62</v>
      </c>
      <c r="U91">
        <v>68.44</v>
      </c>
      <c r="V91" t="s">
        <v>62</v>
      </c>
      <c r="W91" t="s">
        <v>114</v>
      </c>
      <c r="X91" t="s">
        <v>144</v>
      </c>
      <c r="Y91" t="s">
        <v>65</v>
      </c>
      <c r="Z91">
        <v>0</v>
      </c>
      <c r="AA91">
        <v>7</v>
      </c>
      <c r="AB91" t="s">
        <v>97</v>
      </c>
      <c r="AC91" t="s">
        <v>67</v>
      </c>
      <c r="AE91">
        <v>5</v>
      </c>
    </row>
    <row r="92" spans="1:31">
      <c r="A92" t="s">
        <v>506</v>
      </c>
      <c r="B92" t="s">
        <v>507</v>
      </c>
      <c r="C92" t="s">
        <v>508</v>
      </c>
      <c r="D92" t="s">
        <v>92</v>
      </c>
      <c r="E92">
        <v>48</v>
      </c>
      <c r="F92" t="s">
        <v>21</v>
      </c>
      <c r="G92" t="s">
        <v>16</v>
      </c>
      <c r="H92" t="s">
        <v>250</v>
      </c>
      <c r="J92" t="s">
        <v>509</v>
      </c>
      <c r="K92" t="s">
        <v>369</v>
      </c>
      <c r="L92" t="s">
        <v>75</v>
      </c>
      <c r="M92" t="s">
        <v>370</v>
      </c>
      <c r="N92">
        <v>1</v>
      </c>
      <c r="O92">
        <v>20.67</v>
      </c>
      <c r="P92">
        <v>20.67</v>
      </c>
      <c r="Q92">
        <v>0</v>
      </c>
      <c r="R92">
        <v>0</v>
      </c>
      <c r="S92">
        <v>20.67</v>
      </c>
      <c r="T92">
        <v>13.14</v>
      </c>
      <c r="U92">
        <v>7.53</v>
      </c>
      <c r="V92" t="s">
        <v>62</v>
      </c>
      <c r="W92" t="s">
        <v>78</v>
      </c>
      <c r="X92" t="s">
        <v>64</v>
      </c>
      <c r="Y92" t="s">
        <v>65</v>
      </c>
      <c r="Z92">
        <v>5.99</v>
      </c>
      <c r="AA92">
        <v>5</v>
      </c>
      <c r="AB92" t="s">
        <v>88</v>
      </c>
      <c r="AC92" t="s">
        <v>67</v>
      </c>
      <c r="AE92">
        <v>5</v>
      </c>
    </row>
    <row r="93" spans="1:31">
      <c r="A93" t="s">
        <v>510</v>
      </c>
      <c r="B93" t="s">
        <v>511</v>
      </c>
      <c r="C93" t="s">
        <v>512</v>
      </c>
      <c r="D93" t="s">
        <v>71</v>
      </c>
      <c r="E93">
        <v>52</v>
      </c>
      <c r="F93" t="s">
        <v>21</v>
      </c>
      <c r="G93" t="s">
        <v>19</v>
      </c>
      <c r="H93" t="s">
        <v>148</v>
      </c>
      <c r="J93" t="s">
        <v>398</v>
      </c>
      <c r="K93" t="s">
        <v>291</v>
      </c>
      <c r="L93" t="s">
        <v>60</v>
      </c>
      <c r="M93" t="s">
        <v>128</v>
      </c>
      <c r="N93">
        <v>2</v>
      </c>
      <c r="O93">
        <v>497.57</v>
      </c>
      <c r="P93">
        <v>995.14</v>
      </c>
      <c r="Q93">
        <v>0.15</v>
      </c>
      <c r="R93">
        <v>149.27</v>
      </c>
      <c r="S93">
        <v>845.87</v>
      </c>
      <c r="T93">
        <v>438.84</v>
      </c>
      <c r="U93">
        <v>407.03</v>
      </c>
      <c r="V93" t="s">
        <v>96</v>
      </c>
      <c r="W93" t="s">
        <v>78</v>
      </c>
      <c r="X93" t="s">
        <v>64</v>
      </c>
      <c r="Y93" t="s">
        <v>65</v>
      </c>
      <c r="Z93">
        <v>0</v>
      </c>
      <c r="AA93">
        <v>5</v>
      </c>
      <c r="AB93" t="s">
        <v>185</v>
      </c>
      <c r="AC93" t="s">
        <v>67</v>
      </c>
      <c r="AE93">
        <v>5</v>
      </c>
    </row>
    <row r="94" spans="1:31">
      <c r="A94" t="s">
        <v>513</v>
      </c>
      <c r="B94" t="s">
        <v>514</v>
      </c>
      <c r="C94" t="s">
        <v>515</v>
      </c>
      <c r="D94" t="s">
        <v>110</v>
      </c>
      <c r="E94">
        <v>49</v>
      </c>
      <c r="F94" t="s">
        <v>21</v>
      </c>
      <c r="G94" t="s">
        <v>17</v>
      </c>
      <c r="H94" t="s">
        <v>160</v>
      </c>
      <c r="J94" t="s">
        <v>516</v>
      </c>
      <c r="K94" t="s">
        <v>517</v>
      </c>
      <c r="L94" t="s">
        <v>60</v>
      </c>
      <c r="M94" t="s">
        <v>518</v>
      </c>
      <c r="N94">
        <v>1</v>
      </c>
      <c r="O94">
        <v>480.81</v>
      </c>
      <c r="P94">
        <v>480.81</v>
      </c>
      <c r="Q94">
        <v>0.05</v>
      </c>
      <c r="R94">
        <v>24.04</v>
      </c>
      <c r="S94">
        <v>456.77</v>
      </c>
      <c r="T94">
        <v>253.14</v>
      </c>
      <c r="U94">
        <v>203.63</v>
      </c>
      <c r="V94" t="s">
        <v>62</v>
      </c>
      <c r="W94" t="s">
        <v>63</v>
      </c>
      <c r="X94" t="s">
        <v>137</v>
      </c>
      <c r="Y94" t="s">
        <v>253</v>
      </c>
      <c r="Z94">
        <v>19.99</v>
      </c>
      <c r="AA94">
        <v>1</v>
      </c>
      <c r="AB94" t="s">
        <v>66</v>
      </c>
      <c r="AC94" t="s">
        <v>67</v>
      </c>
      <c r="AE94">
        <v>4</v>
      </c>
    </row>
    <row r="95" spans="1:31">
      <c r="A95" t="s">
        <v>519</v>
      </c>
      <c r="B95" t="s">
        <v>520</v>
      </c>
      <c r="C95" t="s">
        <v>521</v>
      </c>
      <c r="D95" t="s">
        <v>71</v>
      </c>
      <c r="E95">
        <v>21</v>
      </c>
      <c r="F95" t="s">
        <v>22</v>
      </c>
      <c r="G95" t="s">
        <v>16</v>
      </c>
      <c r="H95" t="s">
        <v>57</v>
      </c>
      <c r="J95" t="s">
        <v>58</v>
      </c>
      <c r="K95" t="s">
        <v>84</v>
      </c>
      <c r="L95" t="s">
        <v>85</v>
      </c>
      <c r="M95" t="s">
        <v>86</v>
      </c>
      <c r="N95">
        <v>1</v>
      </c>
      <c r="O95">
        <v>519.05</v>
      </c>
      <c r="P95">
        <v>519.05</v>
      </c>
      <c r="Q95">
        <v>0</v>
      </c>
      <c r="R95">
        <v>0</v>
      </c>
      <c r="S95">
        <v>519.05</v>
      </c>
      <c r="T95">
        <v>386.12</v>
      </c>
      <c r="U95">
        <v>132.93</v>
      </c>
      <c r="V95" t="s">
        <v>221</v>
      </c>
      <c r="W95" t="s">
        <v>78</v>
      </c>
      <c r="X95" t="s">
        <v>106</v>
      </c>
      <c r="Y95" t="s">
        <v>107</v>
      </c>
      <c r="Z95">
        <v>12.99</v>
      </c>
      <c r="AA95">
        <v>2</v>
      </c>
      <c r="AB95" t="s">
        <v>164</v>
      </c>
      <c r="AC95" t="s">
        <v>67</v>
      </c>
      <c r="AE95">
        <v>5</v>
      </c>
    </row>
    <row r="96" spans="1:31">
      <c r="A96" t="s">
        <v>522</v>
      </c>
      <c r="B96" t="s">
        <v>523</v>
      </c>
      <c r="C96" t="s">
        <v>524</v>
      </c>
      <c r="D96" t="s">
        <v>92</v>
      </c>
      <c r="E96">
        <v>46</v>
      </c>
      <c r="F96" t="s">
        <v>22</v>
      </c>
      <c r="G96" t="s">
        <v>17</v>
      </c>
      <c r="H96" t="s">
        <v>218</v>
      </c>
      <c r="J96" t="s">
        <v>525</v>
      </c>
      <c r="K96" t="s">
        <v>410</v>
      </c>
      <c r="L96" t="s">
        <v>214</v>
      </c>
      <c r="M96" t="s">
        <v>215</v>
      </c>
      <c r="N96">
        <v>1</v>
      </c>
      <c r="O96">
        <v>94.06</v>
      </c>
      <c r="P96">
        <v>94.06</v>
      </c>
      <c r="Q96">
        <v>0.1</v>
      </c>
      <c r="R96">
        <v>9.41</v>
      </c>
      <c r="S96">
        <v>84.65</v>
      </c>
      <c r="T96">
        <v>34.68</v>
      </c>
      <c r="U96">
        <v>49.97</v>
      </c>
      <c r="V96" t="s">
        <v>62</v>
      </c>
      <c r="W96" t="s">
        <v>78</v>
      </c>
      <c r="X96" t="s">
        <v>144</v>
      </c>
      <c r="Y96" t="s">
        <v>65</v>
      </c>
      <c r="Z96">
        <v>0</v>
      </c>
      <c r="AA96">
        <v>7</v>
      </c>
      <c r="AB96" t="s">
        <v>66</v>
      </c>
      <c r="AC96" t="s">
        <v>67</v>
      </c>
      <c r="AE96">
        <v>4</v>
      </c>
    </row>
    <row r="97" spans="1:31">
      <c r="A97" t="s">
        <v>526</v>
      </c>
      <c r="B97" t="s">
        <v>527</v>
      </c>
      <c r="C97" t="s">
        <v>528</v>
      </c>
      <c r="D97" t="s">
        <v>92</v>
      </c>
      <c r="E97">
        <v>34</v>
      </c>
      <c r="F97" t="s">
        <v>22</v>
      </c>
      <c r="G97" t="s">
        <v>18</v>
      </c>
      <c r="H97" t="s">
        <v>141</v>
      </c>
      <c r="J97" t="s">
        <v>142</v>
      </c>
      <c r="K97" t="s">
        <v>529</v>
      </c>
      <c r="L97" t="s">
        <v>85</v>
      </c>
      <c r="M97" t="s">
        <v>86</v>
      </c>
      <c r="N97">
        <v>2</v>
      </c>
      <c r="O97">
        <v>1247.75</v>
      </c>
      <c r="P97">
        <v>2495.5</v>
      </c>
      <c r="Q97">
        <v>0</v>
      </c>
      <c r="R97">
        <v>0</v>
      </c>
      <c r="S97">
        <v>2495.5</v>
      </c>
      <c r="T97">
        <v>2024.1</v>
      </c>
      <c r="U97">
        <v>471.4</v>
      </c>
      <c r="V97" t="s">
        <v>96</v>
      </c>
      <c r="W97" t="s">
        <v>78</v>
      </c>
      <c r="X97" t="s">
        <v>106</v>
      </c>
      <c r="Y97" t="s">
        <v>65</v>
      </c>
      <c r="Z97">
        <v>0</v>
      </c>
      <c r="AA97">
        <v>6</v>
      </c>
      <c r="AB97" t="s">
        <v>247</v>
      </c>
      <c r="AC97" t="s">
        <v>271</v>
      </c>
      <c r="AD97" t="s">
        <v>272</v>
      </c>
    </row>
    <row r="98" spans="1:31">
      <c r="A98" t="s">
        <v>530</v>
      </c>
      <c r="B98" t="s">
        <v>531</v>
      </c>
      <c r="C98" t="s">
        <v>55</v>
      </c>
      <c r="D98" t="s">
        <v>92</v>
      </c>
      <c r="E98">
        <v>50</v>
      </c>
      <c r="F98" t="s">
        <v>22</v>
      </c>
      <c r="G98" t="s">
        <v>16</v>
      </c>
      <c r="H98" t="s">
        <v>57</v>
      </c>
      <c r="J98" t="s">
        <v>58</v>
      </c>
      <c r="K98" t="s">
        <v>532</v>
      </c>
      <c r="L98" t="s">
        <v>75</v>
      </c>
      <c r="M98" t="s">
        <v>533</v>
      </c>
      <c r="N98">
        <v>2</v>
      </c>
      <c r="O98">
        <v>51.91</v>
      </c>
      <c r="P98">
        <v>103.82</v>
      </c>
      <c r="Q98">
        <v>0.3</v>
      </c>
      <c r="R98">
        <v>31.15</v>
      </c>
      <c r="S98">
        <v>72.67</v>
      </c>
      <c r="T98">
        <v>54.87</v>
      </c>
      <c r="U98">
        <v>17.8</v>
      </c>
      <c r="V98" t="s">
        <v>62</v>
      </c>
      <c r="W98" t="s">
        <v>63</v>
      </c>
      <c r="X98" t="s">
        <v>64</v>
      </c>
      <c r="Y98" t="s">
        <v>107</v>
      </c>
      <c r="Z98">
        <v>12.99</v>
      </c>
      <c r="AA98">
        <v>2</v>
      </c>
      <c r="AB98" t="s">
        <v>185</v>
      </c>
      <c r="AC98" t="s">
        <v>67</v>
      </c>
    </row>
    <row r="99" spans="1:31">
      <c r="A99" t="s">
        <v>534</v>
      </c>
      <c r="B99" t="s">
        <v>535</v>
      </c>
      <c r="C99" t="s">
        <v>536</v>
      </c>
      <c r="D99" t="s">
        <v>56</v>
      </c>
      <c r="E99">
        <v>39</v>
      </c>
      <c r="F99" t="s">
        <v>22</v>
      </c>
      <c r="G99" t="s">
        <v>19</v>
      </c>
      <c r="H99" t="s">
        <v>148</v>
      </c>
      <c r="J99" t="s">
        <v>398</v>
      </c>
      <c r="K99" t="s">
        <v>246</v>
      </c>
      <c r="L99" t="s">
        <v>60</v>
      </c>
      <c r="M99" t="s">
        <v>170</v>
      </c>
      <c r="N99">
        <v>1</v>
      </c>
      <c r="O99">
        <v>39.51</v>
      </c>
      <c r="P99">
        <v>39.51</v>
      </c>
      <c r="Q99">
        <v>0</v>
      </c>
      <c r="R99">
        <v>0</v>
      </c>
      <c r="S99">
        <v>39.51</v>
      </c>
      <c r="T99">
        <v>20.48</v>
      </c>
      <c r="U99">
        <v>19.03</v>
      </c>
      <c r="V99" t="s">
        <v>304</v>
      </c>
      <c r="W99" t="s">
        <v>114</v>
      </c>
      <c r="X99" t="s">
        <v>115</v>
      </c>
      <c r="Y99" t="s">
        <v>65</v>
      </c>
      <c r="Z99">
        <v>5.99</v>
      </c>
      <c r="AA99">
        <v>5</v>
      </c>
      <c r="AB99" t="s">
        <v>185</v>
      </c>
      <c r="AC99" t="s">
        <v>67</v>
      </c>
    </row>
    <row r="100" spans="1:31">
      <c r="A100" t="s">
        <v>537</v>
      </c>
      <c r="B100" t="s">
        <v>538</v>
      </c>
      <c r="C100" t="s">
        <v>539</v>
      </c>
      <c r="D100" t="s">
        <v>92</v>
      </c>
      <c r="E100">
        <v>29</v>
      </c>
      <c r="F100" t="s">
        <v>22</v>
      </c>
      <c r="G100" t="s">
        <v>15</v>
      </c>
      <c r="H100" t="s">
        <v>435</v>
      </c>
      <c r="J100" t="s">
        <v>436</v>
      </c>
      <c r="K100" t="s">
        <v>540</v>
      </c>
      <c r="L100" t="s">
        <v>85</v>
      </c>
      <c r="M100" t="s">
        <v>541</v>
      </c>
      <c r="N100">
        <v>1</v>
      </c>
      <c r="O100">
        <v>627.1</v>
      </c>
      <c r="P100">
        <v>627.1</v>
      </c>
      <c r="Q100">
        <v>0.15</v>
      </c>
      <c r="R100">
        <v>94.06</v>
      </c>
      <c r="S100">
        <v>533.04</v>
      </c>
      <c r="T100">
        <v>440.61</v>
      </c>
      <c r="U100">
        <v>92.43</v>
      </c>
      <c r="V100" t="s">
        <v>96</v>
      </c>
      <c r="W100" t="s">
        <v>63</v>
      </c>
      <c r="X100" t="s">
        <v>64</v>
      </c>
      <c r="Y100" t="s">
        <v>305</v>
      </c>
      <c r="Z100">
        <v>0</v>
      </c>
      <c r="AA100">
        <v>10</v>
      </c>
      <c r="AB100" t="s">
        <v>88</v>
      </c>
      <c r="AC100" t="s">
        <v>67</v>
      </c>
    </row>
    <row r="101" spans="1:31">
      <c r="A101" t="s">
        <v>542</v>
      </c>
      <c r="B101" t="s">
        <v>543</v>
      </c>
      <c r="C101" t="s">
        <v>544</v>
      </c>
      <c r="D101" t="s">
        <v>92</v>
      </c>
      <c r="E101">
        <v>39</v>
      </c>
      <c r="F101" t="s">
        <v>21</v>
      </c>
      <c r="G101" t="s">
        <v>16</v>
      </c>
      <c r="H101" t="s">
        <v>358</v>
      </c>
      <c r="J101" t="s">
        <v>545</v>
      </c>
      <c r="K101" t="s">
        <v>546</v>
      </c>
      <c r="L101" t="s">
        <v>177</v>
      </c>
      <c r="M101" t="s">
        <v>184</v>
      </c>
      <c r="N101">
        <v>1</v>
      </c>
      <c r="O101">
        <v>109.72</v>
      </c>
      <c r="P101">
        <v>109.72</v>
      </c>
      <c r="Q101">
        <v>0</v>
      </c>
      <c r="R101">
        <v>0</v>
      </c>
      <c r="S101">
        <v>109.72</v>
      </c>
      <c r="T101">
        <v>75.43</v>
      </c>
      <c r="U101">
        <v>34.29</v>
      </c>
      <c r="V101" t="s">
        <v>77</v>
      </c>
      <c r="W101" t="s">
        <v>78</v>
      </c>
      <c r="X101" t="s">
        <v>106</v>
      </c>
      <c r="Y101" t="s">
        <v>253</v>
      </c>
      <c r="Z101">
        <v>19.99</v>
      </c>
      <c r="AA101">
        <v>1</v>
      </c>
      <c r="AB101" t="s">
        <v>66</v>
      </c>
      <c r="AC101" t="s">
        <v>67</v>
      </c>
      <c r="AE101">
        <v>5</v>
      </c>
    </row>
    <row r="102" spans="1:31">
      <c r="A102" t="s">
        <v>547</v>
      </c>
      <c r="B102" t="s">
        <v>548</v>
      </c>
      <c r="C102" t="s">
        <v>549</v>
      </c>
      <c r="D102" t="s">
        <v>110</v>
      </c>
      <c r="E102">
        <v>32</v>
      </c>
      <c r="F102" t="s">
        <v>22</v>
      </c>
      <c r="G102" t="s">
        <v>19</v>
      </c>
      <c r="H102" t="s">
        <v>124</v>
      </c>
      <c r="I102" t="s">
        <v>462</v>
      </c>
      <c r="J102" t="s">
        <v>550</v>
      </c>
      <c r="K102" t="s">
        <v>551</v>
      </c>
      <c r="L102" t="s">
        <v>75</v>
      </c>
      <c r="M102" t="s">
        <v>533</v>
      </c>
      <c r="N102">
        <v>2</v>
      </c>
      <c r="O102">
        <v>16.32</v>
      </c>
      <c r="P102">
        <v>32.64</v>
      </c>
      <c r="Q102">
        <v>0.25</v>
      </c>
      <c r="R102">
        <v>8.16</v>
      </c>
      <c r="S102">
        <v>24.48</v>
      </c>
      <c r="T102">
        <v>15.53</v>
      </c>
      <c r="U102">
        <v>8.95</v>
      </c>
      <c r="V102" t="s">
        <v>304</v>
      </c>
      <c r="W102" t="s">
        <v>114</v>
      </c>
      <c r="X102" t="s">
        <v>129</v>
      </c>
      <c r="Y102" t="s">
        <v>107</v>
      </c>
      <c r="Z102">
        <v>12.99</v>
      </c>
      <c r="AA102">
        <v>2</v>
      </c>
      <c r="AB102" t="s">
        <v>66</v>
      </c>
      <c r="AC102" t="s">
        <v>67</v>
      </c>
      <c r="AE102">
        <v>5</v>
      </c>
    </row>
    <row r="103" spans="1:31">
      <c r="A103" t="s">
        <v>552</v>
      </c>
      <c r="B103" t="s">
        <v>548</v>
      </c>
      <c r="C103" t="s">
        <v>155</v>
      </c>
      <c r="D103" t="s">
        <v>110</v>
      </c>
      <c r="E103">
        <v>19</v>
      </c>
      <c r="F103" t="s">
        <v>21</v>
      </c>
      <c r="G103" t="s">
        <v>19</v>
      </c>
      <c r="H103" t="s">
        <v>82</v>
      </c>
      <c r="J103" t="s">
        <v>156</v>
      </c>
      <c r="K103" t="s">
        <v>553</v>
      </c>
      <c r="L103" t="s">
        <v>196</v>
      </c>
      <c r="M103" t="s">
        <v>205</v>
      </c>
      <c r="N103">
        <v>1</v>
      </c>
      <c r="O103">
        <v>63.72</v>
      </c>
      <c r="P103">
        <v>63.72</v>
      </c>
      <c r="Q103">
        <v>0.1</v>
      </c>
      <c r="R103">
        <v>6.37</v>
      </c>
      <c r="S103">
        <v>57.35</v>
      </c>
      <c r="T103">
        <v>22.05</v>
      </c>
      <c r="U103">
        <v>35.3</v>
      </c>
      <c r="V103" t="s">
        <v>221</v>
      </c>
      <c r="W103" t="s">
        <v>78</v>
      </c>
      <c r="X103" t="s">
        <v>137</v>
      </c>
      <c r="Y103" t="s">
        <v>107</v>
      </c>
      <c r="Z103">
        <v>12.99</v>
      </c>
      <c r="AA103">
        <v>3</v>
      </c>
      <c r="AB103" t="s">
        <v>185</v>
      </c>
      <c r="AC103" t="s">
        <v>67</v>
      </c>
    </row>
    <row r="104" spans="1:31">
      <c r="A104" t="s">
        <v>554</v>
      </c>
      <c r="B104" t="s">
        <v>555</v>
      </c>
      <c r="C104" t="s">
        <v>556</v>
      </c>
      <c r="D104" t="s">
        <v>110</v>
      </c>
      <c r="E104">
        <v>39</v>
      </c>
      <c r="F104" t="s">
        <v>22</v>
      </c>
      <c r="G104" t="s">
        <v>19</v>
      </c>
      <c r="H104" t="s">
        <v>82</v>
      </c>
      <c r="J104" t="s">
        <v>83</v>
      </c>
      <c r="K104" t="s">
        <v>557</v>
      </c>
      <c r="L104" t="s">
        <v>85</v>
      </c>
      <c r="M104" t="s">
        <v>354</v>
      </c>
      <c r="N104">
        <v>2</v>
      </c>
      <c r="O104">
        <v>740.07</v>
      </c>
      <c r="P104">
        <v>1480.14</v>
      </c>
      <c r="Q104">
        <v>0.1</v>
      </c>
      <c r="R104">
        <v>148.01</v>
      </c>
      <c r="S104">
        <v>1332.13</v>
      </c>
      <c r="T104">
        <v>1114.59</v>
      </c>
      <c r="U104">
        <v>217.54</v>
      </c>
      <c r="V104" t="s">
        <v>77</v>
      </c>
      <c r="W104" t="s">
        <v>78</v>
      </c>
      <c r="X104" t="s">
        <v>64</v>
      </c>
      <c r="Y104" t="s">
        <v>65</v>
      </c>
      <c r="Z104">
        <v>0</v>
      </c>
      <c r="AA104">
        <v>6</v>
      </c>
      <c r="AB104" t="s">
        <v>281</v>
      </c>
      <c r="AC104" t="s">
        <v>67</v>
      </c>
      <c r="AE104">
        <v>1</v>
      </c>
    </row>
    <row r="105" spans="1:31">
      <c r="A105" t="s">
        <v>558</v>
      </c>
      <c r="B105" t="s">
        <v>559</v>
      </c>
      <c r="C105" t="s">
        <v>560</v>
      </c>
      <c r="D105" t="s">
        <v>110</v>
      </c>
      <c r="E105">
        <v>38</v>
      </c>
      <c r="F105" t="s">
        <v>21</v>
      </c>
      <c r="G105" t="s">
        <v>18</v>
      </c>
      <c r="H105" t="s">
        <v>561</v>
      </c>
      <c r="J105" t="s">
        <v>562</v>
      </c>
      <c r="K105" t="s">
        <v>563</v>
      </c>
      <c r="L105" t="s">
        <v>60</v>
      </c>
      <c r="M105" t="s">
        <v>518</v>
      </c>
      <c r="N105">
        <v>1</v>
      </c>
      <c r="O105">
        <v>113.3</v>
      </c>
      <c r="P105">
        <v>113.3</v>
      </c>
      <c r="Q105">
        <v>0.15</v>
      </c>
      <c r="R105">
        <v>16.99</v>
      </c>
      <c r="S105">
        <v>96.31</v>
      </c>
      <c r="T105">
        <v>53.02</v>
      </c>
      <c r="U105">
        <v>43.29</v>
      </c>
      <c r="V105" t="s">
        <v>96</v>
      </c>
      <c r="W105" t="s">
        <v>114</v>
      </c>
      <c r="X105" t="s">
        <v>115</v>
      </c>
      <c r="Y105" t="s">
        <v>107</v>
      </c>
      <c r="Z105">
        <v>12.99</v>
      </c>
      <c r="AA105">
        <v>2</v>
      </c>
      <c r="AB105" t="s">
        <v>97</v>
      </c>
      <c r="AC105" t="s">
        <v>67</v>
      </c>
      <c r="AE105">
        <v>3</v>
      </c>
    </row>
    <row r="106" spans="1:31">
      <c r="A106" t="s">
        <v>564</v>
      </c>
      <c r="B106" t="s">
        <v>565</v>
      </c>
      <c r="C106" t="s">
        <v>502</v>
      </c>
      <c r="D106" t="s">
        <v>110</v>
      </c>
      <c r="E106">
        <v>26</v>
      </c>
      <c r="F106" t="s">
        <v>21</v>
      </c>
      <c r="G106" t="s">
        <v>16</v>
      </c>
      <c r="H106" t="s">
        <v>503</v>
      </c>
      <c r="J106" t="s">
        <v>504</v>
      </c>
      <c r="K106" t="s">
        <v>566</v>
      </c>
      <c r="L106" t="s">
        <v>151</v>
      </c>
      <c r="M106" t="s">
        <v>163</v>
      </c>
      <c r="N106">
        <v>1</v>
      </c>
      <c r="O106">
        <v>22.28</v>
      </c>
      <c r="P106">
        <v>22.28</v>
      </c>
      <c r="Q106">
        <v>0.1</v>
      </c>
      <c r="R106">
        <v>2.23</v>
      </c>
      <c r="S106">
        <v>20.05</v>
      </c>
      <c r="T106">
        <v>14.33</v>
      </c>
      <c r="U106">
        <v>5.72</v>
      </c>
      <c r="V106" t="s">
        <v>221</v>
      </c>
      <c r="W106" t="s">
        <v>78</v>
      </c>
      <c r="X106" t="s">
        <v>64</v>
      </c>
      <c r="Y106" t="s">
        <v>65</v>
      </c>
      <c r="Z106">
        <v>5.99</v>
      </c>
      <c r="AA106">
        <v>7</v>
      </c>
      <c r="AB106" t="s">
        <v>185</v>
      </c>
      <c r="AC106" t="s">
        <v>67</v>
      </c>
    </row>
    <row r="107" spans="1:31">
      <c r="A107" t="s">
        <v>567</v>
      </c>
      <c r="B107" t="s">
        <v>565</v>
      </c>
      <c r="C107" t="s">
        <v>568</v>
      </c>
      <c r="D107" t="s">
        <v>110</v>
      </c>
      <c r="E107">
        <v>46</v>
      </c>
      <c r="F107" t="s">
        <v>22</v>
      </c>
      <c r="G107" t="s">
        <v>19</v>
      </c>
      <c r="H107" t="s">
        <v>148</v>
      </c>
      <c r="J107" t="s">
        <v>398</v>
      </c>
      <c r="K107" t="s">
        <v>335</v>
      </c>
      <c r="L107" t="s">
        <v>151</v>
      </c>
      <c r="M107" t="s">
        <v>336</v>
      </c>
      <c r="N107">
        <v>2</v>
      </c>
      <c r="O107">
        <v>21.09</v>
      </c>
      <c r="P107">
        <v>42.18</v>
      </c>
      <c r="Q107">
        <v>0.1</v>
      </c>
      <c r="R107">
        <v>4.22</v>
      </c>
      <c r="S107">
        <v>37.96</v>
      </c>
      <c r="T107">
        <v>26.46</v>
      </c>
      <c r="U107">
        <v>11.5</v>
      </c>
      <c r="V107" t="s">
        <v>62</v>
      </c>
      <c r="W107" t="s">
        <v>78</v>
      </c>
      <c r="X107" t="s">
        <v>137</v>
      </c>
      <c r="Y107" t="s">
        <v>65</v>
      </c>
      <c r="Z107">
        <v>5.99</v>
      </c>
      <c r="AA107">
        <v>6</v>
      </c>
      <c r="AB107" t="s">
        <v>185</v>
      </c>
      <c r="AC107" t="s">
        <v>67</v>
      </c>
      <c r="AE107">
        <v>5</v>
      </c>
    </row>
    <row r="108" spans="1:31">
      <c r="A108" t="s">
        <v>569</v>
      </c>
      <c r="B108" t="s">
        <v>570</v>
      </c>
      <c r="C108" t="s">
        <v>571</v>
      </c>
      <c r="D108" t="s">
        <v>92</v>
      </c>
      <c r="E108">
        <v>56</v>
      </c>
      <c r="F108" t="s">
        <v>21</v>
      </c>
      <c r="G108" t="s">
        <v>17</v>
      </c>
      <c r="H108" t="s">
        <v>160</v>
      </c>
      <c r="J108" t="s">
        <v>161</v>
      </c>
      <c r="K108" t="s">
        <v>572</v>
      </c>
      <c r="L108" t="s">
        <v>85</v>
      </c>
      <c r="M108" t="s">
        <v>541</v>
      </c>
      <c r="N108">
        <v>1</v>
      </c>
      <c r="O108">
        <v>334.96</v>
      </c>
      <c r="P108">
        <v>334.96</v>
      </c>
      <c r="Q108">
        <v>0</v>
      </c>
      <c r="R108">
        <v>0</v>
      </c>
      <c r="S108">
        <v>334.96</v>
      </c>
      <c r="T108">
        <v>271.22</v>
      </c>
      <c r="U108">
        <v>63.74</v>
      </c>
      <c r="V108" t="s">
        <v>221</v>
      </c>
      <c r="W108" t="s">
        <v>78</v>
      </c>
      <c r="X108" t="s">
        <v>64</v>
      </c>
      <c r="Y108" t="s">
        <v>107</v>
      </c>
      <c r="Z108">
        <v>12.99</v>
      </c>
      <c r="AA108">
        <v>2</v>
      </c>
      <c r="AB108" t="s">
        <v>164</v>
      </c>
      <c r="AC108" t="s">
        <v>67</v>
      </c>
      <c r="AE108">
        <v>5</v>
      </c>
    </row>
    <row r="109" spans="1:31">
      <c r="A109" t="s">
        <v>573</v>
      </c>
      <c r="B109" t="s">
        <v>574</v>
      </c>
      <c r="C109" t="s">
        <v>575</v>
      </c>
      <c r="D109" t="s">
        <v>92</v>
      </c>
      <c r="E109">
        <v>18</v>
      </c>
      <c r="F109" t="s">
        <v>21</v>
      </c>
      <c r="G109" t="s">
        <v>15</v>
      </c>
      <c r="H109" t="s">
        <v>374</v>
      </c>
      <c r="J109" t="s">
        <v>374</v>
      </c>
      <c r="K109" t="s">
        <v>576</v>
      </c>
      <c r="L109" t="s">
        <v>196</v>
      </c>
      <c r="M109" t="s">
        <v>242</v>
      </c>
      <c r="N109">
        <v>2</v>
      </c>
      <c r="O109">
        <v>84.41</v>
      </c>
      <c r="P109">
        <v>168.82</v>
      </c>
      <c r="Q109">
        <v>0.05</v>
      </c>
      <c r="R109">
        <v>8.44</v>
      </c>
      <c r="S109">
        <v>160.38</v>
      </c>
      <c r="T109">
        <v>79.61</v>
      </c>
      <c r="U109">
        <v>80.77</v>
      </c>
      <c r="V109" t="s">
        <v>221</v>
      </c>
      <c r="W109" t="s">
        <v>78</v>
      </c>
      <c r="X109" t="s">
        <v>64</v>
      </c>
      <c r="Y109" t="s">
        <v>107</v>
      </c>
      <c r="Z109">
        <v>12.99</v>
      </c>
      <c r="AA109">
        <v>2</v>
      </c>
      <c r="AB109" t="s">
        <v>66</v>
      </c>
      <c r="AC109" t="s">
        <v>67</v>
      </c>
      <c r="AE109">
        <v>5</v>
      </c>
    </row>
    <row r="110" spans="1:31">
      <c r="A110" t="s">
        <v>577</v>
      </c>
      <c r="B110" t="s">
        <v>574</v>
      </c>
      <c r="C110" t="s">
        <v>181</v>
      </c>
      <c r="D110" t="s">
        <v>110</v>
      </c>
      <c r="E110">
        <v>28</v>
      </c>
      <c r="F110" t="s">
        <v>21</v>
      </c>
      <c r="G110" t="s">
        <v>19</v>
      </c>
      <c r="H110" t="s">
        <v>148</v>
      </c>
      <c r="J110" t="s">
        <v>182</v>
      </c>
      <c r="K110" t="s">
        <v>578</v>
      </c>
      <c r="L110" t="s">
        <v>196</v>
      </c>
      <c r="M110" t="s">
        <v>209</v>
      </c>
      <c r="N110">
        <v>1</v>
      </c>
      <c r="O110">
        <v>187.69</v>
      </c>
      <c r="P110">
        <v>187.69</v>
      </c>
      <c r="Q110">
        <v>0.1</v>
      </c>
      <c r="R110">
        <v>18.77</v>
      </c>
      <c r="S110">
        <v>168.92</v>
      </c>
      <c r="T110">
        <v>75.37</v>
      </c>
      <c r="U110">
        <v>93.55</v>
      </c>
      <c r="V110" t="s">
        <v>77</v>
      </c>
      <c r="W110" t="s">
        <v>78</v>
      </c>
      <c r="X110" t="s">
        <v>64</v>
      </c>
      <c r="Y110" t="s">
        <v>107</v>
      </c>
      <c r="Z110">
        <v>12.99</v>
      </c>
      <c r="AA110">
        <v>2</v>
      </c>
      <c r="AB110" t="s">
        <v>247</v>
      </c>
      <c r="AC110" t="s">
        <v>271</v>
      </c>
      <c r="AD110" t="s">
        <v>474</v>
      </c>
    </row>
    <row r="111" spans="1:31">
      <c r="A111" t="s">
        <v>579</v>
      </c>
      <c r="B111" t="s">
        <v>580</v>
      </c>
      <c r="C111" t="s">
        <v>581</v>
      </c>
      <c r="D111" t="s">
        <v>92</v>
      </c>
      <c r="E111">
        <v>44</v>
      </c>
      <c r="F111" t="s">
        <v>22</v>
      </c>
      <c r="G111" t="s">
        <v>15</v>
      </c>
      <c r="H111" t="s">
        <v>435</v>
      </c>
      <c r="J111" t="s">
        <v>494</v>
      </c>
      <c r="K111" t="s">
        <v>578</v>
      </c>
      <c r="L111" t="s">
        <v>196</v>
      </c>
      <c r="M111" t="s">
        <v>209</v>
      </c>
      <c r="N111">
        <v>1</v>
      </c>
      <c r="O111">
        <v>57.5</v>
      </c>
      <c r="P111">
        <v>57.5</v>
      </c>
      <c r="Q111">
        <v>0.1</v>
      </c>
      <c r="R111">
        <v>5.75</v>
      </c>
      <c r="S111">
        <v>51.75</v>
      </c>
      <c r="T111">
        <v>25.32</v>
      </c>
      <c r="U111">
        <v>26.43</v>
      </c>
      <c r="V111" t="s">
        <v>62</v>
      </c>
      <c r="W111" t="s">
        <v>114</v>
      </c>
      <c r="X111" t="s">
        <v>106</v>
      </c>
      <c r="Y111" t="s">
        <v>107</v>
      </c>
      <c r="Z111">
        <v>12.99</v>
      </c>
      <c r="AA111">
        <v>3</v>
      </c>
      <c r="AB111" t="s">
        <v>247</v>
      </c>
      <c r="AC111" t="s">
        <v>67</v>
      </c>
      <c r="AE111">
        <v>5</v>
      </c>
    </row>
    <row r="112" spans="1:31">
      <c r="A112" t="s">
        <v>582</v>
      </c>
      <c r="B112" t="s">
        <v>580</v>
      </c>
      <c r="C112" t="s">
        <v>583</v>
      </c>
      <c r="D112" t="s">
        <v>110</v>
      </c>
      <c r="E112">
        <v>57</v>
      </c>
      <c r="F112" t="s">
        <v>21</v>
      </c>
      <c r="G112" t="s">
        <v>16</v>
      </c>
      <c r="H112" t="s">
        <v>358</v>
      </c>
      <c r="J112" t="s">
        <v>584</v>
      </c>
      <c r="K112" t="s">
        <v>410</v>
      </c>
      <c r="L112" t="s">
        <v>214</v>
      </c>
      <c r="M112" t="s">
        <v>215</v>
      </c>
      <c r="N112">
        <v>1</v>
      </c>
      <c r="O112">
        <v>66.39</v>
      </c>
      <c r="P112">
        <v>66.39</v>
      </c>
      <c r="Q112">
        <v>0.1</v>
      </c>
      <c r="R112">
        <v>6.64</v>
      </c>
      <c r="S112">
        <v>59.75</v>
      </c>
      <c r="T112">
        <v>27.26</v>
      </c>
      <c r="U112">
        <v>32.49</v>
      </c>
      <c r="V112" t="s">
        <v>62</v>
      </c>
      <c r="W112" t="s">
        <v>63</v>
      </c>
      <c r="X112" t="s">
        <v>64</v>
      </c>
      <c r="Y112" t="s">
        <v>65</v>
      </c>
      <c r="Z112">
        <v>5.99</v>
      </c>
      <c r="AA112">
        <v>7</v>
      </c>
      <c r="AB112" t="s">
        <v>247</v>
      </c>
      <c r="AC112" t="s">
        <v>67</v>
      </c>
    </row>
    <row r="113" spans="1:31">
      <c r="A113" t="s">
        <v>585</v>
      </c>
      <c r="B113" t="s">
        <v>586</v>
      </c>
      <c r="C113" t="s">
        <v>173</v>
      </c>
      <c r="D113" t="s">
        <v>92</v>
      </c>
      <c r="E113">
        <v>29</v>
      </c>
      <c r="F113" t="s">
        <v>22</v>
      </c>
      <c r="G113" t="s">
        <v>19</v>
      </c>
      <c r="H113" t="s">
        <v>124</v>
      </c>
      <c r="I113" t="s">
        <v>174</v>
      </c>
      <c r="J113" t="s">
        <v>175</v>
      </c>
      <c r="K113" t="s">
        <v>246</v>
      </c>
      <c r="L113" t="s">
        <v>60</v>
      </c>
      <c r="M113" t="s">
        <v>170</v>
      </c>
      <c r="N113">
        <v>2</v>
      </c>
      <c r="O113">
        <v>36.44</v>
      </c>
      <c r="P113">
        <v>72.88</v>
      </c>
      <c r="Q113">
        <v>0</v>
      </c>
      <c r="R113">
        <v>0</v>
      </c>
      <c r="S113">
        <v>72.88</v>
      </c>
      <c r="T113">
        <v>50.67</v>
      </c>
      <c r="U113">
        <v>22.21</v>
      </c>
      <c r="V113" t="s">
        <v>62</v>
      </c>
      <c r="W113" t="s">
        <v>78</v>
      </c>
      <c r="X113" t="s">
        <v>129</v>
      </c>
      <c r="Y113" t="s">
        <v>65</v>
      </c>
      <c r="Z113">
        <v>5.99</v>
      </c>
      <c r="AA113">
        <v>6</v>
      </c>
      <c r="AB113" t="s">
        <v>66</v>
      </c>
      <c r="AC113" t="s">
        <v>67</v>
      </c>
    </row>
    <row r="114" spans="1:31">
      <c r="A114" t="s">
        <v>587</v>
      </c>
      <c r="B114" t="s">
        <v>588</v>
      </c>
      <c r="C114" t="s">
        <v>589</v>
      </c>
      <c r="D114" t="s">
        <v>92</v>
      </c>
      <c r="E114">
        <v>36</v>
      </c>
      <c r="F114" t="s">
        <v>22</v>
      </c>
      <c r="G114" t="s">
        <v>19</v>
      </c>
      <c r="H114" t="s">
        <v>82</v>
      </c>
      <c r="J114" t="s">
        <v>229</v>
      </c>
      <c r="K114" t="s">
        <v>590</v>
      </c>
      <c r="L114" t="s">
        <v>60</v>
      </c>
      <c r="M114" t="s">
        <v>490</v>
      </c>
      <c r="N114">
        <v>1</v>
      </c>
      <c r="O114">
        <v>59.04</v>
      </c>
      <c r="P114">
        <v>59.04</v>
      </c>
      <c r="Q114">
        <v>0.1</v>
      </c>
      <c r="R114">
        <v>5.9</v>
      </c>
      <c r="S114">
        <v>53.14</v>
      </c>
      <c r="T114">
        <v>33.42</v>
      </c>
      <c r="U114">
        <v>19.72</v>
      </c>
      <c r="V114" t="s">
        <v>96</v>
      </c>
      <c r="W114" t="s">
        <v>114</v>
      </c>
      <c r="X114" t="s">
        <v>64</v>
      </c>
      <c r="Y114" t="s">
        <v>107</v>
      </c>
      <c r="Z114">
        <v>12.99</v>
      </c>
      <c r="AA114">
        <v>3</v>
      </c>
      <c r="AB114" t="s">
        <v>66</v>
      </c>
      <c r="AC114" t="s">
        <v>271</v>
      </c>
      <c r="AD114" t="s">
        <v>591</v>
      </c>
    </row>
    <row r="115" spans="1:31">
      <c r="A115" t="s">
        <v>592</v>
      </c>
      <c r="B115" t="s">
        <v>593</v>
      </c>
      <c r="C115" t="s">
        <v>594</v>
      </c>
      <c r="D115" t="s">
        <v>71</v>
      </c>
      <c r="E115">
        <v>66</v>
      </c>
      <c r="F115" t="s">
        <v>22</v>
      </c>
      <c r="G115" t="s">
        <v>19</v>
      </c>
      <c r="H115" t="s">
        <v>82</v>
      </c>
      <c r="J115" t="s">
        <v>229</v>
      </c>
      <c r="K115" t="s">
        <v>595</v>
      </c>
      <c r="L115" t="s">
        <v>177</v>
      </c>
      <c r="M115" t="s">
        <v>478</v>
      </c>
      <c r="N115">
        <v>1</v>
      </c>
      <c r="O115">
        <v>289.42</v>
      </c>
      <c r="P115">
        <v>289.42</v>
      </c>
      <c r="Q115">
        <v>0</v>
      </c>
      <c r="R115">
        <v>0</v>
      </c>
      <c r="S115">
        <v>289.42</v>
      </c>
      <c r="T115">
        <v>187.66</v>
      </c>
      <c r="U115">
        <v>101.76</v>
      </c>
      <c r="V115" t="s">
        <v>62</v>
      </c>
      <c r="W115" t="s">
        <v>114</v>
      </c>
      <c r="X115" t="s">
        <v>87</v>
      </c>
      <c r="Y115" t="s">
        <v>107</v>
      </c>
      <c r="Z115">
        <v>12.99</v>
      </c>
      <c r="AA115">
        <v>2</v>
      </c>
      <c r="AB115" t="s">
        <v>185</v>
      </c>
      <c r="AC115" t="s">
        <v>271</v>
      </c>
      <c r="AD115" t="s">
        <v>319</v>
      </c>
    </row>
    <row r="116" spans="1:31">
      <c r="A116" t="s">
        <v>596</v>
      </c>
      <c r="B116" t="s">
        <v>593</v>
      </c>
      <c r="C116" t="s">
        <v>597</v>
      </c>
      <c r="D116" t="s">
        <v>92</v>
      </c>
      <c r="E116">
        <v>18</v>
      </c>
      <c r="F116" t="s">
        <v>22</v>
      </c>
      <c r="G116" t="s">
        <v>15</v>
      </c>
      <c r="H116" t="s">
        <v>189</v>
      </c>
      <c r="J116" t="s">
        <v>598</v>
      </c>
      <c r="K116" t="s">
        <v>599</v>
      </c>
      <c r="L116" t="s">
        <v>104</v>
      </c>
      <c r="M116" t="s">
        <v>600</v>
      </c>
      <c r="N116">
        <v>2</v>
      </c>
      <c r="O116">
        <v>122.87</v>
      </c>
      <c r="P116">
        <v>245.74</v>
      </c>
      <c r="Q116">
        <v>0.15</v>
      </c>
      <c r="R116">
        <v>36.86</v>
      </c>
      <c r="S116">
        <v>208.88</v>
      </c>
      <c r="T116">
        <v>131.59</v>
      </c>
      <c r="U116">
        <v>77.29</v>
      </c>
      <c r="V116" t="s">
        <v>62</v>
      </c>
      <c r="W116" t="s">
        <v>78</v>
      </c>
      <c r="X116" t="s">
        <v>64</v>
      </c>
      <c r="Y116" t="s">
        <v>107</v>
      </c>
      <c r="Z116">
        <v>12.99</v>
      </c>
      <c r="AA116">
        <v>3</v>
      </c>
      <c r="AB116" t="s">
        <v>164</v>
      </c>
      <c r="AC116" t="s">
        <v>67</v>
      </c>
      <c r="AE116">
        <v>5</v>
      </c>
    </row>
    <row r="117" spans="1:31">
      <c r="A117" t="s">
        <v>601</v>
      </c>
      <c r="B117" t="s">
        <v>602</v>
      </c>
      <c r="C117" t="s">
        <v>603</v>
      </c>
      <c r="D117" t="s">
        <v>110</v>
      </c>
      <c r="E117">
        <v>31</v>
      </c>
      <c r="F117" t="s">
        <v>21</v>
      </c>
      <c r="G117" t="s">
        <v>17</v>
      </c>
      <c r="H117" t="s">
        <v>160</v>
      </c>
      <c r="J117" t="s">
        <v>161</v>
      </c>
      <c r="K117" t="s">
        <v>604</v>
      </c>
      <c r="L117" t="s">
        <v>85</v>
      </c>
      <c r="M117" t="s">
        <v>113</v>
      </c>
      <c r="N117">
        <v>2</v>
      </c>
      <c r="O117">
        <v>1293.73</v>
      </c>
      <c r="P117">
        <v>2587.46</v>
      </c>
      <c r="Q117">
        <v>0.15</v>
      </c>
      <c r="R117">
        <v>388.12</v>
      </c>
      <c r="S117">
        <v>2199.34</v>
      </c>
      <c r="T117">
        <v>1869</v>
      </c>
      <c r="U117">
        <v>330.34</v>
      </c>
      <c r="V117" t="s">
        <v>62</v>
      </c>
      <c r="W117" t="s">
        <v>78</v>
      </c>
      <c r="X117" t="s">
        <v>64</v>
      </c>
      <c r="Y117" t="s">
        <v>65</v>
      </c>
      <c r="Z117">
        <v>0</v>
      </c>
      <c r="AA117">
        <v>6</v>
      </c>
      <c r="AB117" t="s">
        <v>164</v>
      </c>
      <c r="AC117" t="s">
        <v>67</v>
      </c>
    </row>
    <row r="118" spans="1:31">
      <c r="A118" t="s">
        <v>605</v>
      </c>
      <c r="B118" t="s">
        <v>606</v>
      </c>
      <c r="C118" t="s">
        <v>607</v>
      </c>
      <c r="D118" t="s">
        <v>92</v>
      </c>
      <c r="E118">
        <v>21</v>
      </c>
      <c r="F118" t="s">
        <v>22</v>
      </c>
      <c r="G118" t="s">
        <v>16</v>
      </c>
      <c r="H118" t="s">
        <v>250</v>
      </c>
      <c r="J118" t="s">
        <v>322</v>
      </c>
      <c r="K118" t="s">
        <v>608</v>
      </c>
      <c r="L118" t="s">
        <v>214</v>
      </c>
      <c r="M118" t="s">
        <v>609</v>
      </c>
      <c r="N118">
        <v>2</v>
      </c>
      <c r="O118">
        <v>35.64</v>
      </c>
      <c r="P118">
        <v>71.28</v>
      </c>
      <c r="Q118">
        <v>0.15</v>
      </c>
      <c r="R118">
        <v>10.69</v>
      </c>
      <c r="S118">
        <v>60.59</v>
      </c>
      <c r="T118">
        <v>22.69</v>
      </c>
      <c r="U118">
        <v>37.9</v>
      </c>
      <c r="V118" t="s">
        <v>304</v>
      </c>
      <c r="W118" t="s">
        <v>114</v>
      </c>
      <c r="X118" t="s">
        <v>115</v>
      </c>
      <c r="Y118" t="s">
        <v>305</v>
      </c>
      <c r="Z118">
        <v>2.99</v>
      </c>
      <c r="AA118">
        <v>9</v>
      </c>
      <c r="AB118" t="s">
        <v>97</v>
      </c>
      <c r="AC118" t="s">
        <v>67</v>
      </c>
      <c r="AE118">
        <v>4</v>
      </c>
    </row>
    <row r="119" spans="1:31">
      <c r="A119" t="s">
        <v>610</v>
      </c>
      <c r="B119" t="s">
        <v>611</v>
      </c>
      <c r="C119" t="s">
        <v>321</v>
      </c>
      <c r="D119" t="s">
        <v>110</v>
      </c>
      <c r="E119">
        <v>57</v>
      </c>
      <c r="F119" t="s">
        <v>22</v>
      </c>
      <c r="G119" t="s">
        <v>16</v>
      </c>
      <c r="H119" t="s">
        <v>250</v>
      </c>
      <c r="J119" t="s">
        <v>322</v>
      </c>
      <c r="K119" t="s">
        <v>532</v>
      </c>
      <c r="L119" t="s">
        <v>75</v>
      </c>
      <c r="M119" t="s">
        <v>533</v>
      </c>
      <c r="N119">
        <v>1</v>
      </c>
      <c r="O119">
        <v>49.66</v>
      </c>
      <c r="P119">
        <v>49.66</v>
      </c>
      <c r="Q119">
        <v>0.1</v>
      </c>
      <c r="R119">
        <v>4.97</v>
      </c>
      <c r="S119">
        <v>44.69</v>
      </c>
      <c r="T119">
        <v>32.88</v>
      </c>
      <c r="U119">
        <v>11.81</v>
      </c>
      <c r="V119" t="s">
        <v>77</v>
      </c>
      <c r="W119" t="s">
        <v>78</v>
      </c>
      <c r="X119" t="s">
        <v>64</v>
      </c>
      <c r="Y119" t="s">
        <v>65</v>
      </c>
      <c r="Z119">
        <v>5.99</v>
      </c>
      <c r="AA119">
        <v>6</v>
      </c>
      <c r="AB119" t="s">
        <v>97</v>
      </c>
      <c r="AC119" t="s">
        <v>67</v>
      </c>
      <c r="AE119">
        <v>5</v>
      </c>
    </row>
    <row r="120" spans="1:31">
      <c r="A120" t="s">
        <v>612</v>
      </c>
      <c r="B120" t="s">
        <v>613</v>
      </c>
      <c r="C120" t="s">
        <v>568</v>
      </c>
      <c r="D120" t="s">
        <v>56</v>
      </c>
      <c r="E120">
        <v>46</v>
      </c>
      <c r="F120" t="s">
        <v>22</v>
      </c>
      <c r="G120" t="s">
        <v>19</v>
      </c>
      <c r="H120" t="s">
        <v>148</v>
      </c>
      <c r="J120" t="s">
        <v>398</v>
      </c>
      <c r="K120" t="s">
        <v>614</v>
      </c>
      <c r="L120" t="s">
        <v>214</v>
      </c>
      <c r="M120" t="s">
        <v>609</v>
      </c>
      <c r="N120">
        <v>5</v>
      </c>
      <c r="O120">
        <v>18.74</v>
      </c>
      <c r="P120">
        <v>93.7</v>
      </c>
      <c r="Q120">
        <v>0.05</v>
      </c>
      <c r="R120">
        <v>4.69</v>
      </c>
      <c r="S120">
        <v>89.01</v>
      </c>
      <c r="T120">
        <v>43.5</v>
      </c>
      <c r="U120">
        <v>45.51</v>
      </c>
      <c r="V120" t="s">
        <v>62</v>
      </c>
      <c r="W120" t="s">
        <v>114</v>
      </c>
      <c r="X120" t="s">
        <v>64</v>
      </c>
      <c r="Y120" t="s">
        <v>107</v>
      </c>
      <c r="Z120">
        <v>12.99</v>
      </c>
      <c r="AA120">
        <v>2</v>
      </c>
      <c r="AB120" t="s">
        <v>66</v>
      </c>
      <c r="AC120" t="s">
        <v>67</v>
      </c>
      <c r="AE120">
        <v>4</v>
      </c>
    </row>
    <row r="121" spans="1:31">
      <c r="A121" t="s">
        <v>615</v>
      </c>
      <c r="B121" t="s">
        <v>613</v>
      </c>
      <c r="C121" t="s">
        <v>616</v>
      </c>
      <c r="D121" t="s">
        <v>71</v>
      </c>
      <c r="E121">
        <v>37</v>
      </c>
      <c r="F121" t="s">
        <v>21</v>
      </c>
      <c r="G121" t="s">
        <v>15</v>
      </c>
      <c r="H121" t="s">
        <v>93</v>
      </c>
      <c r="J121" t="s">
        <v>93</v>
      </c>
      <c r="K121" t="s">
        <v>382</v>
      </c>
      <c r="L121" t="s">
        <v>104</v>
      </c>
      <c r="M121" t="s">
        <v>376</v>
      </c>
      <c r="N121">
        <v>1</v>
      </c>
      <c r="O121">
        <v>25.59</v>
      </c>
      <c r="P121">
        <v>25.59</v>
      </c>
      <c r="Q121">
        <v>0.15</v>
      </c>
      <c r="R121">
        <v>3.84</v>
      </c>
      <c r="S121">
        <v>21.75</v>
      </c>
      <c r="T121">
        <v>15.53</v>
      </c>
      <c r="U121">
        <v>6.22</v>
      </c>
      <c r="V121" t="s">
        <v>62</v>
      </c>
      <c r="W121" t="s">
        <v>63</v>
      </c>
      <c r="X121" t="s">
        <v>87</v>
      </c>
      <c r="Y121" t="s">
        <v>65</v>
      </c>
      <c r="Z121">
        <v>5.99</v>
      </c>
      <c r="AA121">
        <v>5</v>
      </c>
      <c r="AB121" t="s">
        <v>247</v>
      </c>
      <c r="AC121" t="s">
        <v>67</v>
      </c>
      <c r="AE121">
        <v>5</v>
      </c>
    </row>
    <row r="122" spans="1:31">
      <c r="A122" t="s">
        <v>617</v>
      </c>
      <c r="B122" t="s">
        <v>618</v>
      </c>
      <c r="C122" t="s">
        <v>234</v>
      </c>
      <c r="D122" t="s">
        <v>92</v>
      </c>
      <c r="E122">
        <v>27</v>
      </c>
      <c r="F122" t="s">
        <v>21</v>
      </c>
      <c r="G122" t="s">
        <v>19</v>
      </c>
      <c r="H122" t="s">
        <v>148</v>
      </c>
      <c r="J122" t="s">
        <v>235</v>
      </c>
      <c r="K122" t="s">
        <v>619</v>
      </c>
      <c r="L122" t="s">
        <v>151</v>
      </c>
      <c r="M122" t="s">
        <v>620</v>
      </c>
      <c r="N122">
        <v>1</v>
      </c>
      <c r="O122">
        <v>6.88</v>
      </c>
      <c r="P122">
        <v>6.88</v>
      </c>
      <c r="Q122">
        <v>0</v>
      </c>
      <c r="R122">
        <v>0</v>
      </c>
      <c r="S122">
        <v>6.88</v>
      </c>
      <c r="T122">
        <v>5.6</v>
      </c>
      <c r="U122">
        <v>1.28</v>
      </c>
      <c r="V122" t="s">
        <v>221</v>
      </c>
      <c r="W122" t="s">
        <v>114</v>
      </c>
      <c r="X122" t="s">
        <v>106</v>
      </c>
      <c r="Y122" t="s">
        <v>253</v>
      </c>
      <c r="Z122">
        <v>19.99</v>
      </c>
      <c r="AA122">
        <v>1</v>
      </c>
      <c r="AB122" t="s">
        <v>66</v>
      </c>
      <c r="AC122" t="s">
        <v>67</v>
      </c>
    </row>
    <row r="123" spans="1:31">
      <c r="A123" t="s">
        <v>621</v>
      </c>
      <c r="B123" t="s">
        <v>622</v>
      </c>
      <c r="C123" t="s">
        <v>279</v>
      </c>
      <c r="D123" t="s">
        <v>92</v>
      </c>
      <c r="E123">
        <v>30</v>
      </c>
      <c r="F123" t="s">
        <v>22</v>
      </c>
      <c r="G123" t="s">
        <v>17</v>
      </c>
      <c r="H123" t="s">
        <v>218</v>
      </c>
      <c r="J123" t="s">
        <v>219</v>
      </c>
      <c r="K123" t="s">
        <v>623</v>
      </c>
      <c r="L123" t="s">
        <v>196</v>
      </c>
      <c r="M123" t="s">
        <v>209</v>
      </c>
      <c r="N123">
        <v>2</v>
      </c>
      <c r="O123">
        <v>16.02</v>
      </c>
      <c r="P123">
        <v>32.04</v>
      </c>
      <c r="Q123">
        <v>0</v>
      </c>
      <c r="R123">
        <v>0</v>
      </c>
      <c r="S123">
        <v>32.04</v>
      </c>
      <c r="T123">
        <v>15.9</v>
      </c>
      <c r="U123">
        <v>16.14</v>
      </c>
      <c r="V123" t="s">
        <v>221</v>
      </c>
      <c r="W123" t="s">
        <v>114</v>
      </c>
      <c r="X123" t="s">
        <v>137</v>
      </c>
      <c r="Y123" t="s">
        <v>307</v>
      </c>
      <c r="Z123">
        <v>24.99</v>
      </c>
      <c r="AA123">
        <v>0</v>
      </c>
      <c r="AB123" t="s">
        <v>185</v>
      </c>
      <c r="AC123" t="s">
        <v>67</v>
      </c>
      <c r="AE123">
        <v>5</v>
      </c>
    </row>
    <row r="124" spans="1:31">
      <c r="A124" t="s">
        <v>624</v>
      </c>
      <c r="B124" t="s">
        <v>625</v>
      </c>
      <c r="C124" t="s">
        <v>626</v>
      </c>
      <c r="D124" t="s">
        <v>92</v>
      </c>
      <c r="E124">
        <v>53</v>
      </c>
      <c r="F124" t="s">
        <v>21</v>
      </c>
      <c r="G124" t="s">
        <v>16</v>
      </c>
      <c r="H124" t="s">
        <v>119</v>
      </c>
      <c r="J124" t="s">
        <v>627</v>
      </c>
      <c r="K124" t="s">
        <v>628</v>
      </c>
      <c r="L124" t="s">
        <v>214</v>
      </c>
      <c r="M124" t="s">
        <v>629</v>
      </c>
      <c r="N124">
        <v>2</v>
      </c>
      <c r="O124">
        <v>8.76</v>
      </c>
      <c r="P124">
        <v>17.52</v>
      </c>
      <c r="Q124">
        <v>0.1</v>
      </c>
      <c r="R124">
        <v>1.75</v>
      </c>
      <c r="S124">
        <v>15.77</v>
      </c>
      <c r="T124">
        <v>6.37</v>
      </c>
      <c r="U124">
        <v>9.4</v>
      </c>
      <c r="V124" t="s">
        <v>221</v>
      </c>
      <c r="W124" t="s">
        <v>63</v>
      </c>
      <c r="X124" t="s">
        <v>106</v>
      </c>
      <c r="Y124" t="s">
        <v>65</v>
      </c>
      <c r="Z124">
        <v>5.99</v>
      </c>
      <c r="AA124">
        <v>5</v>
      </c>
      <c r="AB124" t="s">
        <v>192</v>
      </c>
      <c r="AC124" t="s">
        <v>67</v>
      </c>
      <c r="AE124">
        <v>5</v>
      </c>
    </row>
    <row r="125" spans="1:31">
      <c r="A125" t="s">
        <v>630</v>
      </c>
      <c r="B125" t="s">
        <v>631</v>
      </c>
      <c r="C125" t="s">
        <v>498</v>
      </c>
      <c r="D125" t="s">
        <v>92</v>
      </c>
      <c r="E125">
        <v>53</v>
      </c>
      <c r="F125" t="s">
        <v>22</v>
      </c>
      <c r="G125" t="s">
        <v>19</v>
      </c>
      <c r="H125" t="s">
        <v>82</v>
      </c>
      <c r="J125" t="s">
        <v>156</v>
      </c>
      <c r="K125" t="s">
        <v>431</v>
      </c>
      <c r="L125" t="s">
        <v>196</v>
      </c>
      <c r="M125" t="s">
        <v>197</v>
      </c>
      <c r="N125">
        <v>2</v>
      </c>
      <c r="O125">
        <v>31.98</v>
      </c>
      <c r="P125">
        <v>63.96</v>
      </c>
      <c r="Q125">
        <v>0</v>
      </c>
      <c r="R125">
        <v>0</v>
      </c>
      <c r="S125">
        <v>63.96</v>
      </c>
      <c r="T125">
        <v>29.62</v>
      </c>
      <c r="U125">
        <v>34.34</v>
      </c>
      <c r="V125" t="s">
        <v>62</v>
      </c>
      <c r="W125" t="s">
        <v>78</v>
      </c>
      <c r="X125" t="s">
        <v>64</v>
      </c>
      <c r="Y125" t="s">
        <v>65</v>
      </c>
      <c r="Z125">
        <v>5.99</v>
      </c>
      <c r="AA125">
        <v>7</v>
      </c>
      <c r="AB125" t="s">
        <v>247</v>
      </c>
      <c r="AC125" t="s">
        <v>67</v>
      </c>
      <c r="AE125">
        <v>5</v>
      </c>
    </row>
    <row r="126" spans="1:31">
      <c r="A126" t="s">
        <v>632</v>
      </c>
      <c r="B126" t="s">
        <v>633</v>
      </c>
      <c r="C126" t="s">
        <v>634</v>
      </c>
      <c r="D126" t="s">
        <v>92</v>
      </c>
      <c r="E126">
        <v>26</v>
      </c>
      <c r="F126" t="s">
        <v>21</v>
      </c>
      <c r="G126" t="s">
        <v>19</v>
      </c>
      <c r="H126" t="s">
        <v>124</v>
      </c>
      <c r="I126" t="s">
        <v>635</v>
      </c>
      <c r="J126" t="s">
        <v>636</v>
      </c>
      <c r="K126" t="s">
        <v>637</v>
      </c>
      <c r="L126" t="s">
        <v>75</v>
      </c>
      <c r="M126" t="s">
        <v>638</v>
      </c>
      <c r="N126">
        <v>1</v>
      </c>
      <c r="O126">
        <v>14.02</v>
      </c>
      <c r="P126">
        <v>14.02</v>
      </c>
      <c r="Q126">
        <v>0.25</v>
      </c>
      <c r="R126">
        <v>3.5</v>
      </c>
      <c r="S126">
        <v>10.52</v>
      </c>
      <c r="T126">
        <v>6.74</v>
      </c>
      <c r="U126">
        <v>3.78</v>
      </c>
      <c r="V126" t="s">
        <v>62</v>
      </c>
      <c r="W126" t="s">
        <v>114</v>
      </c>
      <c r="X126" t="s">
        <v>64</v>
      </c>
      <c r="Y126" t="s">
        <v>65</v>
      </c>
      <c r="Z126">
        <v>5.99</v>
      </c>
      <c r="AA126">
        <v>5</v>
      </c>
      <c r="AB126" t="s">
        <v>192</v>
      </c>
      <c r="AC126" t="s">
        <v>67</v>
      </c>
      <c r="AE126">
        <v>5</v>
      </c>
    </row>
    <row r="127" spans="1:31">
      <c r="A127" t="s">
        <v>639</v>
      </c>
      <c r="B127" t="s">
        <v>640</v>
      </c>
      <c r="C127" t="s">
        <v>641</v>
      </c>
      <c r="D127" t="s">
        <v>110</v>
      </c>
      <c r="E127">
        <v>56</v>
      </c>
      <c r="F127" t="s">
        <v>22</v>
      </c>
      <c r="G127" t="s">
        <v>19</v>
      </c>
      <c r="H127" t="s">
        <v>148</v>
      </c>
      <c r="J127" t="s">
        <v>182</v>
      </c>
      <c r="K127" t="s">
        <v>296</v>
      </c>
      <c r="L127" t="s">
        <v>60</v>
      </c>
      <c r="M127" t="s">
        <v>128</v>
      </c>
      <c r="N127">
        <v>1</v>
      </c>
      <c r="O127">
        <v>209.31</v>
      </c>
      <c r="P127">
        <v>209.31</v>
      </c>
      <c r="Q127">
        <v>0.1</v>
      </c>
      <c r="R127">
        <v>20.93</v>
      </c>
      <c r="S127">
        <v>188.38</v>
      </c>
      <c r="T127">
        <v>113.44</v>
      </c>
      <c r="U127">
        <v>74.94</v>
      </c>
      <c r="V127" t="s">
        <v>221</v>
      </c>
      <c r="W127" t="s">
        <v>78</v>
      </c>
      <c r="X127" t="s">
        <v>64</v>
      </c>
      <c r="Y127" t="s">
        <v>65</v>
      </c>
      <c r="Z127">
        <v>0</v>
      </c>
      <c r="AA127">
        <v>4</v>
      </c>
      <c r="AB127" t="s">
        <v>66</v>
      </c>
      <c r="AC127" t="s">
        <v>67</v>
      </c>
    </row>
    <row r="128" spans="1:31">
      <c r="A128" t="s">
        <v>642</v>
      </c>
      <c r="B128" t="s">
        <v>643</v>
      </c>
      <c r="C128" t="s">
        <v>644</v>
      </c>
      <c r="D128" t="s">
        <v>110</v>
      </c>
      <c r="E128">
        <v>29</v>
      </c>
      <c r="F128" t="s">
        <v>21</v>
      </c>
      <c r="G128" t="s">
        <v>19</v>
      </c>
      <c r="H128" t="s">
        <v>148</v>
      </c>
      <c r="J128" t="s">
        <v>182</v>
      </c>
      <c r="K128" t="s">
        <v>135</v>
      </c>
      <c r="L128" t="s">
        <v>60</v>
      </c>
      <c r="M128" t="s">
        <v>136</v>
      </c>
      <c r="N128">
        <v>1</v>
      </c>
      <c r="O128">
        <v>663.35</v>
      </c>
      <c r="P128">
        <v>663.35</v>
      </c>
      <c r="Q128">
        <v>0.15</v>
      </c>
      <c r="R128">
        <v>99.5</v>
      </c>
      <c r="S128">
        <v>563.85</v>
      </c>
      <c r="T128">
        <v>359.06</v>
      </c>
      <c r="U128">
        <v>204.79</v>
      </c>
      <c r="V128" t="s">
        <v>77</v>
      </c>
      <c r="W128" t="s">
        <v>78</v>
      </c>
      <c r="X128" t="s">
        <v>64</v>
      </c>
      <c r="Y128" t="s">
        <v>65</v>
      </c>
      <c r="Z128">
        <v>0</v>
      </c>
      <c r="AA128">
        <v>6</v>
      </c>
      <c r="AB128" t="s">
        <v>88</v>
      </c>
      <c r="AC128" t="s">
        <v>67</v>
      </c>
      <c r="AE128">
        <v>5</v>
      </c>
    </row>
    <row r="129" spans="1:31">
      <c r="A129" t="s">
        <v>645</v>
      </c>
      <c r="B129" t="s">
        <v>646</v>
      </c>
      <c r="C129" t="s">
        <v>647</v>
      </c>
      <c r="D129" t="s">
        <v>92</v>
      </c>
      <c r="E129">
        <v>35</v>
      </c>
      <c r="F129" t="s">
        <v>21</v>
      </c>
      <c r="G129" t="s">
        <v>16</v>
      </c>
      <c r="H129" t="s">
        <v>503</v>
      </c>
      <c r="J129" t="s">
        <v>648</v>
      </c>
      <c r="K129" t="s">
        <v>649</v>
      </c>
      <c r="L129" t="s">
        <v>104</v>
      </c>
      <c r="M129" t="s">
        <v>105</v>
      </c>
      <c r="N129">
        <v>1</v>
      </c>
      <c r="O129">
        <v>56.19</v>
      </c>
      <c r="P129">
        <v>56.19</v>
      </c>
      <c r="Q129">
        <v>0</v>
      </c>
      <c r="R129">
        <v>0</v>
      </c>
      <c r="S129">
        <v>56.19</v>
      </c>
      <c r="T129">
        <v>33.74</v>
      </c>
      <c r="U129">
        <v>22.45</v>
      </c>
      <c r="V129" t="s">
        <v>77</v>
      </c>
      <c r="W129" t="s">
        <v>78</v>
      </c>
      <c r="X129" t="s">
        <v>64</v>
      </c>
      <c r="Y129" t="s">
        <v>107</v>
      </c>
      <c r="Z129">
        <v>12.99</v>
      </c>
      <c r="AA129">
        <v>3</v>
      </c>
      <c r="AB129" t="s">
        <v>247</v>
      </c>
      <c r="AC129" t="s">
        <v>67</v>
      </c>
    </row>
    <row r="130" spans="1:31">
      <c r="A130" t="s">
        <v>650</v>
      </c>
      <c r="B130" t="s">
        <v>651</v>
      </c>
      <c r="C130" t="s">
        <v>652</v>
      </c>
      <c r="D130" t="s">
        <v>92</v>
      </c>
      <c r="E130">
        <v>45</v>
      </c>
      <c r="F130" t="s">
        <v>21</v>
      </c>
      <c r="G130" t="s">
        <v>16</v>
      </c>
      <c r="H130" t="s">
        <v>503</v>
      </c>
      <c r="J130" t="s">
        <v>504</v>
      </c>
      <c r="K130" t="s">
        <v>489</v>
      </c>
      <c r="L130" t="s">
        <v>60</v>
      </c>
      <c r="M130" t="s">
        <v>490</v>
      </c>
      <c r="N130">
        <v>2</v>
      </c>
      <c r="O130">
        <v>506.72</v>
      </c>
      <c r="P130">
        <v>1013.44</v>
      </c>
      <c r="Q130">
        <v>0</v>
      </c>
      <c r="R130">
        <v>0</v>
      </c>
      <c r="S130">
        <v>1013.44</v>
      </c>
      <c r="T130">
        <v>538.24</v>
      </c>
      <c r="U130">
        <v>475.2</v>
      </c>
      <c r="V130" t="s">
        <v>221</v>
      </c>
      <c r="W130" t="s">
        <v>114</v>
      </c>
      <c r="X130" t="s">
        <v>137</v>
      </c>
      <c r="Y130" t="s">
        <v>107</v>
      </c>
      <c r="Z130">
        <v>12.99</v>
      </c>
      <c r="AA130">
        <v>2</v>
      </c>
      <c r="AB130" t="s">
        <v>185</v>
      </c>
      <c r="AC130" t="s">
        <v>67</v>
      </c>
      <c r="AE130">
        <v>5</v>
      </c>
    </row>
    <row r="131" spans="1:31">
      <c r="A131" t="s">
        <v>653</v>
      </c>
      <c r="B131" t="s">
        <v>654</v>
      </c>
      <c r="C131" t="s">
        <v>655</v>
      </c>
      <c r="D131" t="s">
        <v>56</v>
      </c>
      <c r="E131">
        <v>54</v>
      </c>
      <c r="F131" t="s">
        <v>22</v>
      </c>
      <c r="G131" t="s">
        <v>19</v>
      </c>
      <c r="H131" t="s">
        <v>124</v>
      </c>
      <c r="I131" t="s">
        <v>257</v>
      </c>
      <c r="J131" t="s">
        <v>656</v>
      </c>
      <c r="K131" t="s">
        <v>657</v>
      </c>
      <c r="L131" t="s">
        <v>214</v>
      </c>
      <c r="M131" t="s">
        <v>629</v>
      </c>
      <c r="N131">
        <v>3</v>
      </c>
      <c r="O131">
        <v>8.66</v>
      </c>
      <c r="P131">
        <v>25.98</v>
      </c>
      <c r="Q131">
        <v>0</v>
      </c>
      <c r="R131">
        <v>0</v>
      </c>
      <c r="S131">
        <v>25.98</v>
      </c>
      <c r="T131">
        <v>11.22</v>
      </c>
      <c r="U131">
        <v>14.76</v>
      </c>
      <c r="V131" t="s">
        <v>77</v>
      </c>
      <c r="W131" t="s">
        <v>78</v>
      </c>
      <c r="X131" t="s">
        <v>129</v>
      </c>
      <c r="Y131" t="s">
        <v>107</v>
      </c>
      <c r="Z131">
        <v>12.99</v>
      </c>
      <c r="AA131">
        <v>3</v>
      </c>
      <c r="AB131" t="s">
        <v>247</v>
      </c>
      <c r="AC131" t="s">
        <v>67</v>
      </c>
      <c r="AE131">
        <v>5</v>
      </c>
    </row>
    <row r="132" spans="1:31">
      <c r="A132" t="s">
        <v>658</v>
      </c>
      <c r="B132" t="s">
        <v>659</v>
      </c>
      <c r="C132" t="s">
        <v>224</v>
      </c>
      <c r="D132" t="s">
        <v>71</v>
      </c>
      <c r="E132">
        <v>51</v>
      </c>
      <c r="F132" t="s">
        <v>21</v>
      </c>
      <c r="G132" t="s">
        <v>19</v>
      </c>
      <c r="H132" t="s">
        <v>82</v>
      </c>
      <c r="J132" t="s">
        <v>83</v>
      </c>
      <c r="K132" t="s">
        <v>590</v>
      </c>
      <c r="L132" t="s">
        <v>60</v>
      </c>
      <c r="M132" t="s">
        <v>490</v>
      </c>
      <c r="N132">
        <v>4</v>
      </c>
      <c r="O132">
        <v>54.74</v>
      </c>
      <c r="P132">
        <v>218.96</v>
      </c>
      <c r="Q132">
        <v>0.05</v>
      </c>
      <c r="R132">
        <v>10.95</v>
      </c>
      <c r="S132">
        <v>208.01</v>
      </c>
      <c r="T132">
        <v>133.65</v>
      </c>
      <c r="U132">
        <v>74.36</v>
      </c>
      <c r="V132" t="s">
        <v>62</v>
      </c>
      <c r="W132" t="s">
        <v>78</v>
      </c>
      <c r="X132" t="s">
        <v>129</v>
      </c>
      <c r="Y132" t="s">
        <v>65</v>
      </c>
      <c r="Z132">
        <v>0</v>
      </c>
      <c r="AA132">
        <v>6</v>
      </c>
      <c r="AB132" t="s">
        <v>66</v>
      </c>
      <c r="AC132" t="s">
        <v>67</v>
      </c>
      <c r="AE132">
        <v>5</v>
      </c>
    </row>
    <row r="133" spans="1:31">
      <c r="A133" t="s">
        <v>660</v>
      </c>
      <c r="B133" t="s">
        <v>661</v>
      </c>
      <c r="C133" t="s">
        <v>662</v>
      </c>
      <c r="D133" t="s">
        <v>110</v>
      </c>
      <c r="E133">
        <v>47</v>
      </c>
      <c r="F133" t="s">
        <v>21</v>
      </c>
      <c r="G133" t="s">
        <v>15</v>
      </c>
      <c r="H133" t="s">
        <v>72</v>
      </c>
      <c r="J133" t="s">
        <v>663</v>
      </c>
      <c r="K133" t="s">
        <v>664</v>
      </c>
      <c r="L133" t="s">
        <v>177</v>
      </c>
      <c r="M133" t="s">
        <v>478</v>
      </c>
      <c r="N133">
        <v>2</v>
      </c>
      <c r="O133">
        <v>12.21</v>
      </c>
      <c r="P133">
        <v>24.42</v>
      </c>
      <c r="Q133">
        <v>0.05</v>
      </c>
      <c r="R133">
        <v>1.22</v>
      </c>
      <c r="S133">
        <v>23.2</v>
      </c>
      <c r="T133">
        <v>12.51</v>
      </c>
      <c r="U133">
        <v>10.69</v>
      </c>
      <c r="V133" t="s">
        <v>77</v>
      </c>
      <c r="W133" t="s">
        <v>78</v>
      </c>
      <c r="X133" t="s">
        <v>64</v>
      </c>
      <c r="Y133" t="s">
        <v>65</v>
      </c>
      <c r="Z133">
        <v>5.99</v>
      </c>
      <c r="AA133">
        <v>5</v>
      </c>
      <c r="AB133" t="s">
        <v>247</v>
      </c>
      <c r="AC133" t="s">
        <v>67</v>
      </c>
    </row>
    <row r="134" spans="1:31">
      <c r="A134" t="s">
        <v>665</v>
      </c>
      <c r="B134" t="s">
        <v>661</v>
      </c>
      <c r="C134" t="s">
        <v>249</v>
      </c>
      <c r="D134" t="s">
        <v>92</v>
      </c>
      <c r="E134">
        <v>19</v>
      </c>
      <c r="F134" t="s">
        <v>22</v>
      </c>
      <c r="G134" t="s">
        <v>16</v>
      </c>
      <c r="H134" t="s">
        <v>250</v>
      </c>
      <c r="J134" t="s">
        <v>251</v>
      </c>
      <c r="K134" t="s">
        <v>666</v>
      </c>
      <c r="L134" t="s">
        <v>60</v>
      </c>
      <c r="M134" t="s">
        <v>518</v>
      </c>
      <c r="N134">
        <v>1</v>
      </c>
      <c r="O134">
        <v>410.68</v>
      </c>
      <c r="P134">
        <v>410.68</v>
      </c>
      <c r="Q134">
        <v>0</v>
      </c>
      <c r="R134">
        <v>0</v>
      </c>
      <c r="S134">
        <v>410.68</v>
      </c>
      <c r="T134">
        <v>242.3</v>
      </c>
      <c r="U134">
        <v>168.38</v>
      </c>
      <c r="V134" t="s">
        <v>62</v>
      </c>
      <c r="W134" t="s">
        <v>78</v>
      </c>
      <c r="X134" t="s">
        <v>137</v>
      </c>
      <c r="Y134" t="s">
        <v>305</v>
      </c>
      <c r="Z134">
        <v>0</v>
      </c>
      <c r="AA134">
        <v>7</v>
      </c>
      <c r="AB134" t="s">
        <v>97</v>
      </c>
      <c r="AC134" t="s">
        <v>271</v>
      </c>
      <c r="AD134" t="s">
        <v>272</v>
      </c>
    </row>
    <row r="135" spans="1:31">
      <c r="A135" t="s">
        <v>667</v>
      </c>
      <c r="B135" t="s">
        <v>668</v>
      </c>
      <c r="C135" t="s">
        <v>669</v>
      </c>
      <c r="D135" t="s">
        <v>110</v>
      </c>
      <c r="E135">
        <v>51</v>
      </c>
      <c r="F135" t="s">
        <v>21</v>
      </c>
      <c r="G135" t="s">
        <v>15</v>
      </c>
      <c r="H135" t="s">
        <v>374</v>
      </c>
      <c r="J135" t="s">
        <v>374</v>
      </c>
      <c r="K135" t="s">
        <v>540</v>
      </c>
      <c r="L135" t="s">
        <v>85</v>
      </c>
      <c r="M135" t="s">
        <v>541</v>
      </c>
      <c r="N135">
        <v>2</v>
      </c>
      <c r="O135">
        <v>541.84</v>
      </c>
      <c r="P135">
        <v>1083.68</v>
      </c>
      <c r="Q135">
        <v>0</v>
      </c>
      <c r="R135">
        <v>0</v>
      </c>
      <c r="S135">
        <v>1083.68</v>
      </c>
      <c r="T135">
        <v>946.05</v>
      </c>
      <c r="U135">
        <v>137.63</v>
      </c>
      <c r="V135" t="s">
        <v>77</v>
      </c>
      <c r="W135" t="s">
        <v>78</v>
      </c>
      <c r="X135" t="s">
        <v>115</v>
      </c>
      <c r="Y135" t="s">
        <v>65</v>
      </c>
      <c r="Z135">
        <v>0</v>
      </c>
      <c r="AA135">
        <v>7</v>
      </c>
      <c r="AB135" t="s">
        <v>247</v>
      </c>
      <c r="AC135" t="s">
        <v>67</v>
      </c>
      <c r="AE135">
        <v>4</v>
      </c>
    </row>
    <row r="136" spans="1:31">
      <c r="A136" t="s">
        <v>670</v>
      </c>
      <c r="B136" t="s">
        <v>671</v>
      </c>
      <c r="C136" t="s">
        <v>672</v>
      </c>
      <c r="D136" t="s">
        <v>110</v>
      </c>
      <c r="E136">
        <v>18</v>
      </c>
      <c r="F136" t="s">
        <v>22</v>
      </c>
      <c r="G136" t="s">
        <v>15</v>
      </c>
      <c r="H136" t="s">
        <v>93</v>
      </c>
      <c r="J136" t="s">
        <v>93</v>
      </c>
      <c r="K136" t="s">
        <v>673</v>
      </c>
      <c r="L136" t="s">
        <v>196</v>
      </c>
      <c r="M136" t="s">
        <v>341</v>
      </c>
      <c r="N136">
        <v>1</v>
      </c>
      <c r="O136">
        <v>101.18</v>
      </c>
      <c r="P136">
        <v>101.18</v>
      </c>
      <c r="Q136">
        <v>0</v>
      </c>
      <c r="R136">
        <v>0</v>
      </c>
      <c r="S136">
        <v>101.18</v>
      </c>
      <c r="T136">
        <v>36.41</v>
      </c>
      <c r="U136">
        <v>64.77</v>
      </c>
      <c r="V136" t="s">
        <v>62</v>
      </c>
      <c r="W136" t="s">
        <v>114</v>
      </c>
      <c r="X136" t="s">
        <v>64</v>
      </c>
      <c r="Y136" t="s">
        <v>107</v>
      </c>
      <c r="Z136">
        <v>12.99</v>
      </c>
      <c r="AA136">
        <v>2</v>
      </c>
      <c r="AB136" t="s">
        <v>164</v>
      </c>
      <c r="AC136" t="s">
        <v>67</v>
      </c>
      <c r="AE136">
        <v>5</v>
      </c>
    </row>
    <row r="137" spans="1:31">
      <c r="A137" t="s">
        <v>674</v>
      </c>
      <c r="B137" t="s">
        <v>675</v>
      </c>
      <c r="C137" t="s">
        <v>676</v>
      </c>
      <c r="D137" t="s">
        <v>71</v>
      </c>
      <c r="E137">
        <v>43</v>
      </c>
      <c r="F137" t="s">
        <v>21</v>
      </c>
      <c r="G137" t="s">
        <v>19</v>
      </c>
      <c r="H137" t="s">
        <v>148</v>
      </c>
      <c r="J137" t="s">
        <v>265</v>
      </c>
      <c r="K137" t="s">
        <v>553</v>
      </c>
      <c r="L137" t="s">
        <v>196</v>
      </c>
      <c r="M137" t="s">
        <v>205</v>
      </c>
      <c r="N137">
        <v>2</v>
      </c>
      <c r="O137">
        <v>112.49</v>
      </c>
      <c r="P137">
        <v>224.98</v>
      </c>
      <c r="Q137">
        <v>0</v>
      </c>
      <c r="R137">
        <v>0</v>
      </c>
      <c r="S137">
        <v>224.98</v>
      </c>
      <c r="T137">
        <v>104.17</v>
      </c>
      <c r="U137">
        <v>120.81</v>
      </c>
      <c r="V137" t="s">
        <v>62</v>
      </c>
      <c r="W137" t="s">
        <v>78</v>
      </c>
      <c r="X137" t="s">
        <v>144</v>
      </c>
      <c r="Y137" t="s">
        <v>65</v>
      </c>
      <c r="Z137">
        <v>0</v>
      </c>
      <c r="AA137">
        <v>7</v>
      </c>
      <c r="AB137" t="s">
        <v>88</v>
      </c>
      <c r="AC137" t="s">
        <v>271</v>
      </c>
      <c r="AD137" t="s">
        <v>474</v>
      </c>
    </row>
    <row r="138" spans="1:31">
      <c r="A138" t="s">
        <v>677</v>
      </c>
      <c r="B138" t="s">
        <v>678</v>
      </c>
      <c r="C138" t="s">
        <v>679</v>
      </c>
      <c r="D138" t="s">
        <v>71</v>
      </c>
      <c r="E138">
        <v>28</v>
      </c>
      <c r="F138" t="s">
        <v>21</v>
      </c>
      <c r="G138" t="s">
        <v>19</v>
      </c>
      <c r="H138" t="s">
        <v>82</v>
      </c>
      <c r="J138" t="s">
        <v>229</v>
      </c>
      <c r="K138" t="s">
        <v>466</v>
      </c>
      <c r="L138" t="s">
        <v>60</v>
      </c>
      <c r="M138" t="s">
        <v>61</v>
      </c>
      <c r="N138">
        <v>3</v>
      </c>
      <c r="O138">
        <v>43.09</v>
      </c>
      <c r="P138">
        <v>129.27</v>
      </c>
      <c r="Q138">
        <v>0.3</v>
      </c>
      <c r="R138">
        <v>38.78</v>
      </c>
      <c r="S138">
        <v>90.49</v>
      </c>
      <c r="T138">
        <v>52.65</v>
      </c>
      <c r="U138">
        <v>37.84</v>
      </c>
      <c r="V138" t="s">
        <v>62</v>
      </c>
      <c r="W138" t="s">
        <v>78</v>
      </c>
      <c r="X138" t="s">
        <v>64</v>
      </c>
      <c r="Y138" t="s">
        <v>65</v>
      </c>
      <c r="Z138">
        <v>0</v>
      </c>
      <c r="AA138">
        <v>6</v>
      </c>
      <c r="AB138" t="s">
        <v>66</v>
      </c>
      <c r="AC138" t="s">
        <v>271</v>
      </c>
      <c r="AD138" t="s">
        <v>591</v>
      </c>
    </row>
    <row r="139" spans="1:31">
      <c r="A139" t="s">
        <v>680</v>
      </c>
      <c r="B139" t="s">
        <v>678</v>
      </c>
      <c r="C139" t="s">
        <v>681</v>
      </c>
      <c r="D139" t="s">
        <v>110</v>
      </c>
      <c r="E139">
        <v>18</v>
      </c>
      <c r="F139" t="s">
        <v>21</v>
      </c>
      <c r="G139" t="s">
        <v>19</v>
      </c>
      <c r="H139" t="s">
        <v>124</v>
      </c>
      <c r="I139" t="s">
        <v>427</v>
      </c>
      <c r="J139" t="s">
        <v>682</v>
      </c>
      <c r="K139" t="s">
        <v>619</v>
      </c>
      <c r="L139" t="s">
        <v>151</v>
      </c>
      <c r="M139" t="s">
        <v>620</v>
      </c>
      <c r="N139">
        <v>1</v>
      </c>
      <c r="O139">
        <v>88.11</v>
      </c>
      <c r="P139">
        <v>88.11</v>
      </c>
      <c r="Q139">
        <v>0.05</v>
      </c>
      <c r="R139">
        <v>4.41</v>
      </c>
      <c r="S139">
        <v>83.7</v>
      </c>
      <c r="T139">
        <v>56.52</v>
      </c>
      <c r="U139">
        <v>27.18</v>
      </c>
      <c r="V139" t="s">
        <v>96</v>
      </c>
      <c r="W139" t="s">
        <v>78</v>
      </c>
      <c r="X139" t="s">
        <v>64</v>
      </c>
      <c r="Y139" t="s">
        <v>107</v>
      </c>
      <c r="Z139">
        <v>12.99</v>
      </c>
      <c r="AA139">
        <v>2</v>
      </c>
      <c r="AB139" t="s">
        <v>66</v>
      </c>
      <c r="AC139" t="s">
        <v>67</v>
      </c>
    </row>
    <row r="140" spans="1:31">
      <c r="A140" t="s">
        <v>683</v>
      </c>
      <c r="B140" t="s">
        <v>684</v>
      </c>
      <c r="C140" t="s">
        <v>685</v>
      </c>
      <c r="D140" t="s">
        <v>110</v>
      </c>
      <c r="E140">
        <v>42</v>
      </c>
      <c r="F140" t="s">
        <v>22</v>
      </c>
      <c r="G140" t="s">
        <v>16</v>
      </c>
      <c r="H140" t="s">
        <v>119</v>
      </c>
      <c r="J140" t="s">
        <v>276</v>
      </c>
      <c r="K140" t="s">
        <v>686</v>
      </c>
      <c r="L140" t="s">
        <v>196</v>
      </c>
      <c r="M140" t="s">
        <v>209</v>
      </c>
      <c r="N140">
        <v>4</v>
      </c>
      <c r="O140">
        <v>50.09</v>
      </c>
      <c r="P140">
        <v>200.36</v>
      </c>
      <c r="Q140">
        <v>0</v>
      </c>
      <c r="R140">
        <v>0</v>
      </c>
      <c r="S140">
        <v>200.36</v>
      </c>
      <c r="T140">
        <v>75.32</v>
      </c>
      <c r="U140">
        <v>125.04</v>
      </c>
      <c r="V140" t="s">
        <v>96</v>
      </c>
      <c r="W140" t="s">
        <v>78</v>
      </c>
      <c r="X140" t="s">
        <v>106</v>
      </c>
      <c r="Y140" t="s">
        <v>65</v>
      </c>
      <c r="Z140">
        <v>0</v>
      </c>
      <c r="AA140">
        <v>7</v>
      </c>
      <c r="AB140" t="s">
        <v>97</v>
      </c>
      <c r="AC140" t="s">
        <v>67</v>
      </c>
      <c r="AE140">
        <v>5</v>
      </c>
    </row>
    <row r="141" spans="1:31">
      <c r="A141" t="s">
        <v>687</v>
      </c>
      <c r="B141" t="s">
        <v>688</v>
      </c>
      <c r="C141" t="s">
        <v>689</v>
      </c>
      <c r="D141" t="s">
        <v>71</v>
      </c>
      <c r="E141">
        <v>31</v>
      </c>
      <c r="F141" t="s">
        <v>21</v>
      </c>
      <c r="G141" t="s">
        <v>15</v>
      </c>
      <c r="H141" t="s">
        <v>374</v>
      </c>
      <c r="J141" t="s">
        <v>374</v>
      </c>
      <c r="K141" t="s">
        <v>195</v>
      </c>
      <c r="L141" t="s">
        <v>196</v>
      </c>
      <c r="M141" t="s">
        <v>197</v>
      </c>
      <c r="N141">
        <v>1</v>
      </c>
      <c r="O141">
        <v>48.17</v>
      </c>
      <c r="P141">
        <v>48.17</v>
      </c>
      <c r="Q141">
        <v>0</v>
      </c>
      <c r="R141">
        <v>0</v>
      </c>
      <c r="S141">
        <v>48.17</v>
      </c>
      <c r="T141">
        <v>25.08</v>
      </c>
      <c r="U141">
        <v>23.09</v>
      </c>
      <c r="V141" t="s">
        <v>62</v>
      </c>
      <c r="W141" t="s">
        <v>114</v>
      </c>
      <c r="X141" t="s">
        <v>115</v>
      </c>
      <c r="Y141" t="s">
        <v>253</v>
      </c>
      <c r="Z141">
        <v>19.99</v>
      </c>
      <c r="AA141">
        <v>1</v>
      </c>
      <c r="AB141" t="s">
        <v>164</v>
      </c>
      <c r="AC141" t="s">
        <v>67</v>
      </c>
      <c r="AE141">
        <v>5</v>
      </c>
    </row>
    <row r="142" spans="1:31">
      <c r="A142" t="s">
        <v>690</v>
      </c>
      <c r="B142" t="s">
        <v>691</v>
      </c>
      <c r="C142" t="s">
        <v>692</v>
      </c>
      <c r="D142" t="s">
        <v>92</v>
      </c>
      <c r="E142">
        <v>36</v>
      </c>
      <c r="F142" t="s">
        <v>21</v>
      </c>
      <c r="G142" t="s">
        <v>16</v>
      </c>
      <c r="H142" t="s">
        <v>472</v>
      </c>
      <c r="J142" t="s">
        <v>693</v>
      </c>
      <c r="K142" t="s">
        <v>241</v>
      </c>
      <c r="L142" t="s">
        <v>196</v>
      </c>
      <c r="M142" t="s">
        <v>242</v>
      </c>
      <c r="N142">
        <v>2</v>
      </c>
      <c r="O142">
        <v>51.17</v>
      </c>
      <c r="P142">
        <v>102.34</v>
      </c>
      <c r="Q142">
        <v>0.05</v>
      </c>
      <c r="R142">
        <v>5.12</v>
      </c>
      <c r="S142">
        <v>97.22</v>
      </c>
      <c r="T142">
        <v>53.12</v>
      </c>
      <c r="U142">
        <v>44.1</v>
      </c>
      <c r="V142" t="s">
        <v>304</v>
      </c>
      <c r="W142" t="s">
        <v>114</v>
      </c>
      <c r="X142" t="s">
        <v>64</v>
      </c>
      <c r="Y142" t="s">
        <v>65</v>
      </c>
      <c r="Z142">
        <v>0</v>
      </c>
      <c r="AA142">
        <v>5</v>
      </c>
      <c r="AB142" t="s">
        <v>185</v>
      </c>
      <c r="AC142" t="s">
        <v>271</v>
      </c>
      <c r="AD142" t="s">
        <v>319</v>
      </c>
    </row>
    <row r="143" spans="1:31">
      <c r="A143" t="s">
        <v>694</v>
      </c>
      <c r="B143" t="s">
        <v>695</v>
      </c>
      <c r="C143" t="s">
        <v>696</v>
      </c>
      <c r="D143" t="s">
        <v>71</v>
      </c>
      <c r="E143">
        <v>48</v>
      </c>
      <c r="F143" t="s">
        <v>21</v>
      </c>
      <c r="G143" t="s">
        <v>19</v>
      </c>
      <c r="H143" t="s">
        <v>124</v>
      </c>
      <c r="I143" t="s">
        <v>697</v>
      </c>
      <c r="J143" t="s">
        <v>698</v>
      </c>
      <c r="K143" t="s">
        <v>699</v>
      </c>
      <c r="L143" t="s">
        <v>85</v>
      </c>
      <c r="M143" t="s">
        <v>95</v>
      </c>
      <c r="N143">
        <v>5</v>
      </c>
      <c r="O143">
        <v>421.3</v>
      </c>
      <c r="P143">
        <v>2106.5</v>
      </c>
      <c r="Q143">
        <v>0</v>
      </c>
      <c r="R143">
        <v>0</v>
      </c>
      <c r="S143">
        <v>2106.5</v>
      </c>
      <c r="T143">
        <v>1836.87</v>
      </c>
      <c r="U143">
        <v>269.63</v>
      </c>
      <c r="V143" t="s">
        <v>77</v>
      </c>
      <c r="W143" t="s">
        <v>78</v>
      </c>
      <c r="X143" t="s">
        <v>64</v>
      </c>
      <c r="Y143" t="s">
        <v>253</v>
      </c>
      <c r="Z143">
        <v>19.99</v>
      </c>
      <c r="AA143">
        <v>1</v>
      </c>
      <c r="AB143" t="s">
        <v>164</v>
      </c>
      <c r="AC143" t="s">
        <v>271</v>
      </c>
      <c r="AD143" t="s">
        <v>272</v>
      </c>
    </row>
    <row r="144" spans="1:31">
      <c r="A144" t="s">
        <v>700</v>
      </c>
      <c r="B144" t="s">
        <v>701</v>
      </c>
      <c r="C144" t="s">
        <v>702</v>
      </c>
      <c r="D144" t="s">
        <v>56</v>
      </c>
      <c r="E144">
        <v>40</v>
      </c>
      <c r="F144" t="s">
        <v>21</v>
      </c>
      <c r="G144" t="s">
        <v>19</v>
      </c>
      <c r="H144" t="s">
        <v>82</v>
      </c>
      <c r="J144" t="s">
        <v>156</v>
      </c>
      <c r="K144" t="s">
        <v>230</v>
      </c>
      <c r="L144" t="s">
        <v>214</v>
      </c>
      <c r="M144" t="s">
        <v>231</v>
      </c>
      <c r="N144">
        <v>4</v>
      </c>
      <c r="O144">
        <v>20.9</v>
      </c>
      <c r="P144">
        <v>83.6</v>
      </c>
      <c r="Q144">
        <v>0.15</v>
      </c>
      <c r="R144">
        <v>12.54</v>
      </c>
      <c r="S144">
        <v>71.06</v>
      </c>
      <c r="T144">
        <v>27.39</v>
      </c>
      <c r="U144">
        <v>43.67</v>
      </c>
      <c r="V144" t="s">
        <v>62</v>
      </c>
      <c r="W144" t="s">
        <v>114</v>
      </c>
      <c r="X144" t="s">
        <v>115</v>
      </c>
      <c r="Y144" t="s">
        <v>65</v>
      </c>
      <c r="Z144">
        <v>5.99</v>
      </c>
      <c r="AA144">
        <v>7</v>
      </c>
      <c r="AB144" t="s">
        <v>164</v>
      </c>
      <c r="AC144" t="s">
        <v>67</v>
      </c>
      <c r="AE144">
        <v>5</v>
      </c>
    </row>
    <row r="145" spans="1:31">
      <c r="A145" t="s">
        <v>703</v>
      </c>
      <c r="B145" t="s">
        <v>704</v>
      </c>
      <c r="C145" t="s">
        <v>705</v>
      </c>
      <c r="D145" t="s">
        <v>71</v>
      </c>
      <c r="E145">
        <v>40</v>
      </c>
      <c r="F145" t="s">
        <v>22</v>
      </c>
      <c r="G145" t="s">
        <v>17</v>
      </c>
      <c r="H145" t="s">
        <v>218</v>
      </c>
      <c r="J145" t="s">
        <v>525</v>
      </c>
      <c r="K145" t="s">
        <v>706</v>
      </c>
      <c r="L145" t="s">
        <v>151</v>
      </c>
      <c r="M145" t="s">
        <v>620</v>
      </c>
      <c r="N145">
        <v>1</v>
      </c>
      <c r="O145">
        <v>7.55</v>
      </c>
      <c r="P145">
        <v>7.55</v>
      </c>
      <c r="Q145">
        <v>0</v>
      </c>
      <c r="R145">
        <v>0</v>
      </c>
      <c r="S145">
        <v>7.55</v>
      </c>
      <c r="T145">
        <v>5.49</v>
      </c>
      <c r="U145">
        <v>2.06</v>
      </c>
      <c r="V145" t="s">
        <v>62</v>
      </c>
      <c r="W145" t="s">
        <v>63</v>
      </c>
      <c r="X145" t="s">
        <v>137</v>
      </c>
      <c r="Y145" t="s">
        <v>65</v>
      </c>
      <c r="Z145">
        <v>5.99</v>
      </c>
      <c r="AA145">
        <v>7</v>
      </c>
      <c r="AB145" t="s">
        <v>97</v>
      </c>
      <c r="AC145" t="s">
        <v>67</v>
      </c>
    </row>
    <row r="146" spans="1:31">
      <c r="A146" t="s">
        <v>707</v>
      </c>
      <c r="B146" t="s">
        <v>708</v>
      </c>
      <c r="C146" t="s">
        <v>709</v>
      </c>
      <c r="D146" t="s">
        <v>92</v>
      </c>
      <c r="E146">
        <v>25</v>
      </c>
      <c r="F146" t="s">
        <v>22</v>
      </c>
      <c r="G146" t="s">
        <v>19</v>
      </c>
      <c r="H146" t="s">
        <v>124</v>
      </c>
      <c r="I146" t="s">
        <v>710</v>
      </c>
      <c r="J146" t="s">
        <v>175</v>
      </c>
      <c r="K146" t="s">
        <v>711</v>
      </c>
      <c r="L146" t="s">
        <v>196</v>
      </c>
      <c r="M146" t="s">
        <v>205</v>
      </c>
      <c r="N146">
        <v>1</v>
      </c>
      <c r="O146">
        <v>22.62</v>
      </c>
      <c r="P146">
        <v>22.62</v>
      </c>
      <c r="Q146">
        <v>0</v>
      </c>
      <c r="R146">
        <v>0</v>
      </c>
      <c r="S146">
        <v>22.62</v>
      </c>
      <c r="T146">
        <v>9.41</v>
      </c>
      <c r="U146">
        <v>13.21</v>
      </c>
      <c r="V146" t="s">
        <v>62</v>
      </c>
      <c r="W146" t="s">
        <v>114</v>
      </c>
      <c r="X146" t="s">
        <v>129</v>
      </c>
      <c r="Y146" t="s">
        <v>107</v>
      </c>
      <c r="Z146">
        <v>12.99</v>
      </c>
      <c r="AA146">
        <v>2</v>
      </c>
      <c r="AB146" t="s">
        <v>97</v>
      </c>
      <c r="AC146" t="s">
        <v>67</v>
      </c>
      <c r="AE146">
        <v>5</v>
      </c>
    </row>
    <row r="147" spans="1:31">
      <c r="A147" t="s">
        <v>712</v>
      </c>
      <c r="B147" t="s">
        <v>708</v>
      </c>
      <c r="C147" t="s">
        <v>713</v>
      </c>
      <c r="D147" t="s">
        <v>110</v>
      </c>
      <c r="E147">
        <v>27</v>
      </c>
      <c r="F147" t="s">
        <v>22</v>
      </c>
      <c r="G147" t="s">
        <v>16</v>
      </c>
      <c r="H147" t="s">
        <v>503</v>
      </c>
      <c r="J147" t="s">
        <v>714</v>
      </c>
      <c r="K147" t="s">
        <v>191</v>
      </c>
      <c r="L147" t="s">
        <v>60</v>
      </c>
      <c r="M147" t="s">
        <v>136</v>
      </c>
      <c r="N147">
        <v>2</v>
      </c>
      <c r="O147">
        <v>27.8</v>
      </c>
      <c r="P147">
        <v>55.6</v>
      </c>
      <c r="Q147">
        <v>0</v>
      </c>
      <c r="R147">
        <v>0</v>
      </c>
      <c r="S147">
        <v>55.6</v>
      </c>
      <c r="T147">
        <v>35.02</v>
      </c>
      <c r="U147">
        <v>20.58</v>
      </c>
      <c r="V147" t="s">
        <v>62</v>
      </c>
      <c r="W147" t="s">
        <v>114</v>
      </c>
      <c r="X147" t="s">
        <v>137</v>
      </c>
      <c r="Y147" t="s">
        <v>65</v>
      </c>
      <c r="Z147">
        <v>5.99</v>
      </c>
      <c r="AA147">
        <v>5</v>
      </c>
      <c r="AB147" t="s">
        <v>66</v>
      </c>
      <c r="AC147" t="s">
        <v>67</v>
      </c>
      <c r="AE147">
        <v>3</v>
      </c>
    </row>
    <row r="148" spans="1:31">
      <c r="A148" t="s">
        <v>715</v>
      </c>
      <c r="B148" t="s">
        <v>708</v>
      </c>
      <c r="C148" t="s">
        <v>245</v>
      </c>
      <c r="D148" t="s">
        <v>110</v>
      </c>
      <c r="E148">
        <v>35</v>
      </c>
      <c r="F148" t="s">
        <v>21</v>
      </c>
      <c r="G148" t="s">
        <v>17</v>
      </c>
      <c r="H148" t="s">
        <v>101</v>
      </c>
      <c r="J148" t="s">
        <v>102</v>
      </c>
      <c r="K148" t="s">
        <v>477</v>
      </c>
      <c r="L148" t="s">
        <v>177</v>
      </c>
      <c r="M148" t="s">
        <v>478</v>
      </c>
      <c r="N148">
        <v>5</v>
      </c>
      <c r="O148">
        <v>37.63</v>
      </c>
      <c r="P148">
        <v>188.15</v>
      </c>
      <c r="Q148">
        <v>0.15</v>
      </c>
      <c r="R148">
        <v>28.22</v>
      </c>
      <c r="S148">
        <v>159.93</v>
      </c>
      <c r="T148">
        <v>100.07</v>
      </c>
      <c r="U148">
        <v>59.86</v>
      </c>
      <c r="V148" t="s">
        <v>221</v>
      </c>
      <c r="W148" t="s">
        <v>78</v>
      </c>
      <c r="X148" t="s">
        <v>115</v>
      </c>
      <c r="Y148" t="s">
        <v>65</v>
      </c>
      <c r="Z148">
        <v>0</v>
      </c>
      <c r="AA148">
        <v>5</v>
      </c>
      <c r="AB148" t="s">
        <v>88</v>
      </c>
      <c r="AC148" t="s">
        <v>271</v>
      </c>
      <c r="AD148" t="s">
        <v>716</v>
      </c>
    </row>
    <row r="149" spans="1:31">
      <c r="A149" t="s">
        <v>717</v>
      </c>
      <c r="B149" t="s">
        <v>718</v>
      </c>
      <c r="C149" t="s">
        <v>652</v>
      </c>
      <c r="D149" t="s">
        <v>110</v>
      </c>
      <c r="E149">
        <v>45</v>
      </c>
      <c r="F149" t="s">
        <v>21</v>
      </c>
      <c r="G149" t="s">
        <v>16</v>
      </c>
      <c r="H149" t="s">
        <v>503</v>
      </c>
      <c r="J149" t="s">
        <v>504</v>
      </c>
      <c r="K149" t="s">
        <v>208</v>
      </c>
      <c r="L149" t="s">
        <v>196</v>
      </c>
      <c r="M149" t="s">
        <v>209</v>
      </c>
      <c r="N149">
        <v>1</v>
      </c>
      <c r="O149">
        <v>20.99</v>
      </c>
      <c r="P149">
        <v>20.99</v>
      </c>
      <c r="Q149">
        <v>0.05</v>
      </c>
      <c r="R149">
        <v>1.05</v>
      </c>
      <c r="S149">
        <v>19.94</v>
      </c>
      <c r="T149">
        <v>7.54</v>
      </c>
      <c r="U149">
        <v>12.4</v>
      </c>
      <c r="V149" t="s">
        <v>62</v>
      </c>
      <c r="W149" t="s">
        <v>114</v>
      </c>
      <c r="X149" t="s">
        <v>106</v>
      </c>
      <c r="Y149" t="s">
        <v>253</v>
      </c>
      <c r="Z149">
        <v>19.99</v>
      </c>
      <c r="AA149">
        <v>1</v>
      </c>
      <c r="AB149" t="s">
        <v>164</v>
      </c>
      <c r="AC149" t="s">
        <v>67</v>
      </c>
      <c r="AE149">
        <v>5</v>
      </c>
    </row>
    <row r="150" spans="1:31">
      <c r="A150" t="s">
        <v>719</v>
      </c>
      <c r="B150" t="s">
        <v>718</v>
      </c>
      <c r="C150" t="s">
        <v>720</v>
      </c>
      <c r="D150" t="s">
        <v>110</v>
      </c>
      <c r="E150">
        <v>30</v>
      </c>
      <c r="F150" t="s">
        <v>21</v>
      </c>
      <c r="G150" t="s">
        <v>19</v>
      </c>
      <c r="H150" t="s">
        <v>148</v>
      </c>
      <c r="J150" t="s">
        <v>398</v>
      </c>
      <c r="K150" t="s">
        <v>721</v>
      </c>
      <c r="L150" t="s">
        <v>85</v>
      </c>
      <c r="M150" t="s">
        <v>113</v>
      </c>
      <c r="N150">
        <v>2</v>
      </c>
      <c r="O150">
        <v>207.19</v>
      </c>
      <c r="P150">
        <v>414.38</v>
      </c>
      <c r="Q150">
        <v>0</v>
      </c>
      <c r="R150">
        <v>0</v>
      </c>
      <c r="S150">
        <v>414.38</v>
      </c>
      <c r="T150">
        <v>312.07</v>
      </c>
      <c r="U150">
        <v>102.31</v>
      </c>
      <c r="V150" t="s">
        <v>96</v>
      </c>
      <c r="W150" t="s">
        <v>63</v>
      </c>
      <c r="X150" t="s">
        <v>64</v>
      </c>
      <c r="Y150" t="s">
        <v>65</v>
      </c>
      <c r="Z150">
        <v>0</v>
      </c>
      <c r="AA150">
        <v>5</v>
      </c>
      <c r="AB150" t="s">
        <v>281</v>
      </c>
      <c r="AC150" t="s">
        <v>67</v>
      </c>
      <c r="AE150">
        <v>5</v>
      </c>
    </row>
    <row r="151" spans="1:31">
      <c r="A151" t="s">
        <v>722</v>
      </c>
      <c r="B151" t="s">
        <v>723</v>
      </c>
      <c r="C151" t="s">
        <v>268</v>
      </c>
      <c r="D151" t="s">
        <v>92</v>
      </c>
      <c r="E151">
        <v>50</v>
      </c>
      <c r="F151" t="s">
        <v>22</v>
      </c>
      <c r="G151" t="s">
        <v>18</v>
      </c>
      <c r="H151" t="s">
        <v>141</v>
      </c>
      <c r="J151" t="s">
        <v>142</v>
      </c>
      <c r="K151" t="s">
        <v>724</v>
      </c>
      <c r="L151" t="s">
        <v>104</v>
      </c>
      <c r="M151" t="s">
        <v>361</v>
      </c>
      <c r="N151">
        <v>2</v>
      </c>
      <c r="O151">
        <v>448.18</v>
      </c>
      <c r="P151">
        <v>896.36</v>
      </c>
      <c r="Q151">
        <v>0</v>
      </c>
      <c r="R151">
        <v>0</v>
      </c>
      <c r="S151">
        <v>896.36</v>
      </c>
      <c r="T151">
        <v>630.23</v>
      </c>
      <c r="U151">
        <v>266.13</v>
      </c>
      <c r="V151" t="s">
        <v>62</v>
      </c>
      <c r="W151" t="s">
        <v>78</v>
      </c>
      <c r="X151" t="s">
        <v>137</v>
      </c>
      <c r="Y151" t="s">
        <v>253</v>
      </c>
      <c r="Z151">
        <v>19.99</v>
      </c>
      <c r="AA151">
        <v>1</v>
      </c>
      <c r="AB151" t="s">
        <v>66</v>
      </c>
      <c r="AC151" t="s">
        <v>67</v>
      </c>
      <c r="AE151">
        <v>5</v>
      </c>
    </row>
    <row r="152" spans="1:31">
      <c r="A152" t="s">
        <v>725</v>
      </c>
      <c r="B152" t="s">
        <v>726</v>
      </c>
      <c r="C152" t="s">
        <v>727</v>
      </c>
      <c r="D152" t="s">
        <v>92</v>
      </c>
      <c r="E152">
        <v>26</v>
      </c>
      <c r="F152" t="s">
        <v>21</v>
      </c>
      <c r="G152" t="s">
        <v>15</v>
      </c>
      <c r="H152" t="s">
        <v>435</v>
      </c>
      <c r="J152" t="s">
        <v>494</v>
      </c>
      <c r="K152" t="s">
        <v>572</v>
      </c>
      <c r="L152" t="s">
        <v>85</v>
      </c>
      <c r="M152" t="s">
        <v>541</v>
      </c>
      <c r="N152">
        <v>1</v>
      </c>
      <c r="O152">
        <v>1343.32</v>
      </c>
      <c r="P152">
        <v>1343.32</v>
      </c>
      <c r="Q152">
        <v>0.05</v>
      </c>
      <c r="R152">
        <v>67.17</v>
      </c>
      <c r="S152">
        <v>1276.15</v>
      </c>
      <c r="T152">
        <v>927.51</v>
      </c>
      <c r="U152">
        <v>348.64</v>
      </c>
      <c r="V152" t="s">
        <v>62</v>
      </c>
      <c r="W152" t="s">
        <v>78</v>
      </c>
      <c r="X152" t="s">
        <v>64</v>
      </c>
      <c r="Y152" t="s">
        <v>65</v>
      </c>
      <c r="Z152">
        <v>0</v>
      </c>
      <c r="AA152">
        <v>6</v>
      </c>
      <c r="AB152" t="s">
        <v>88</v>
      </c>
      <c r="AC152" t="s">
        <v>67</v>
      </c>
      <c r="AE152">
        <v>5</v>
      </c>
    </row>
    <row r="153" spans="1:31">
      <c r="A153" t="s">
        <v>728</v>
      </c>
      <c r="B153" t="s">
        <v>726</v>
      </c>
      <c r="C153" t="s">
        <v>729</v>
      </c>
      <c r="D153" t="s">
        <v>110</v>
      </c>
      <c r="E153">
        <v>18</v>
      </c>
      <c r="F153" t="s">
        <v>23</v>
      </c>
      <c r="G153" t="s">
        <v>19</v>
      </c>
      <c r="H153" t="s">
        <v>82</v>
      </c>
      <c r="J153" t="s">
        <v>229</v>
      </c>
      <c r="K153" t="s">
        <v>730</v>
      </c>
      <c r="L153" t="s">
        <v>177</v>
      </c>
      <c r="M153" t="s">
        <v>270</v>
      </c>
      <c r="N153">
        <v>1</v>
      </c>
      <c r="O153">
        <v>190.5</v>
      </c>
      <c r="P153">
        <v>190.5</v>
      </c>
      <c r="Q153">
        <v>0</v>
      </c>
      <c r="R153">
        <v>0</v>
      </c>
      <c r="S153">
        <v>190.5</v>
      </c>
      <c r="T153">
        <v>113.5</v>
      </c>
      <c r="U153">
        <v>77</v>
      </c>
      <c r="V153" t="s">
        <v>62</v>
      </c>
      <c r="W153" t="s">
        <v>78</v>
      </c>
      <c r="X153" t="s">
        <v>129</v>
      </c>
      <c r="Y153" t="s">
        <v>65</v>
      </c>
      <c r="Z153">
        <v>0</v>
      </c>
      <c r="AA153">
        <v>5</v>
      </c>
      <c r="AB153" t="s">
        <v>185</v>
      </c>
      <c r="AC153" t="s">
        <v>67</v>
      </c>
    </row>
    <row r="154" spans="1:31">
      <c r="A154" t="s">
        <v>731</v>
      </c>
      <c r="B154" t="s">
        <v>732</v>
      </c>
      <c r="C154" t="s">
        <v>733</v>
      </c>
      <c r="D154" t="s">
        <v>92</v>
      </c>
      <c r="E154">
        <v>40</v>
      </c>
      <c r="F154" t="s">
        <v>22</v>
      </c>
      <c r="G154" t="s">
        <v>15</v>
      </c>
      <c r="H154" t="s">
        <v>435</v>
      </c>
      <c r="J154" t="s">
        <v>494</v>
      </c>
      <c r="K154" t="s">
        <v>335</v>
      </c>
      <c r="L154" t="s">
        <v>151</v>
      </c>
      <c r="M154" t="s">
        <v>336</v>
      </c>
      <c r="N154">
        <v>2</v>
      </c>
      <c r="O154">
        <v>81.37</v>
      </c>
      <c r="P154">
        <v>162.74</v>
      </c>
      <c r="Q154">
        <v>0.1</v>
      </c>
      <c r="R154">
        <v>16.27</v>
      </c>
      <c r="S154">
        <v>146.47</v>
      </c>
      <c r="T154">
        <v>118.22</v>
      </c>
      <c r="U154">
        <v>28.25</v>
      </c>
      <c r="V154" t="s">
        <v>96</v>
      </c>
      <c r="W154" t="s">
        <v>78</v>
      </c>
      <c r="X154" t="s">
        <v>137</v>
      </c>
      <c r="Y154" t="s">
        <v>253</v>
      </c>
      <c r="Z154">
        <v>19.99</v>
      </c>
      <c r="AA154">
        <v>1</v>
      </c>
      <c r="AB154" t="s">
        <v>97</v>
      </c>
      <c r="AC154" t="s">
        <v>67</v>
      </c>
      <c r="AE154">
        <v>5</v>
      </c>
    </row>
    <row r="155" spans="1:31">
      <c r="A155" t="s">
        <v>734</v>
      </c>
      <c r="B155" t="s">
        <v>735</v>
      </c>
      <c r="C155" t="s">
        <v>736</v>
      </c>
      <c r="D155" t="s">
        <v>71</v>
      </c>
      <c r="E155">
        <v>45</v>
      </c>
      <c r="F155" t="s">
        <v>21</v>
      </c>
      <c r="G155" t="s">
        <v>19</v>
      </c>
      <c r="H155" t="s">
        <v>124</v>
      </c>
      <c r="I155" t="s">
        <v>174</v>
      </c>
      <c r="J155" t="s">
        <v>126</v>
      </c>
      <c r="K155" t="s">
        <v>551</v>
      </c>
      <c r="L155" t="s">
        <v>75</v>
      </c>
      <c r="M155" t="s">
        <v>533</v>
      </c>
      <c r="N155">
        <v>1</v>
      </c>
      <c r="O155">
        <v>19.14</v>
      </c>
      <c r="P155">
        <v>19.14</v>
      </c>
      <c r="Q155">
        <v>0.1</v>
      </c>
      <c r="R155">
        <v>1.91</v>
      </c>
      <c r="S155">
        <v>17.23</v>
      </c>
      <c r="T155">
        <v>13.63</v>
      </c>
      <c r="U155">
        <v>3.6</v>
      </c>
      <c r="V155" t="s">
        <v>62</v>
      </c>
      <c r="W155" t="s">
        <v>63</v>
      </c>
      <c r="X155" t="s">
        <v>144</v>
      </c>
      <c r="Y155" t="s">
        <v>107</v>
      </c>
      <c r="Z155">
        <v>12.99</v>
      </c>
      <c r="AA155">
        <v>2</v>
      </c>
      <c r="AB155" t="s">
        <v>66</v>
      </c>
      <c r="AC155" t="s">
        <v>67</v>
      </c>
      <c r="AE155">
        <v>4</v>
      </c>
    </row>
    <row r="156" spans="1:31">
      <c r="A156" t="s">
        <v>737</v>
      </c>
      <c r="B156" t="s">
        <v>735</v>
      </c>
      <c r="C156" t="s">
        <v>738</v>
      </c>
      <c r="D156" t="s">
        <v>92</v>
      </c>
      <c r="E156">
        <v>45</v>
      </c>
      <c r="F156" t="s">
        <v>22</v>
      </c>
      <c r="G156" t="s">
        <v>19</v>
      </c>
      <c r="H156" t="s">
        <v>148</v>
      </c>
      <c r="J156" t="s">
        <v>149</v>
      </c>
      <c r="K156" t="s">
        <v>739</v>
      </c>
      <c r="L156" t="s">
        <v>196</v>
      </c>
      <c r="M156" t="s">
        <v>242</v>
      </c>
      <c r="N156">
        <v>1</v>
      </c>
      <c r="O156">
        <v>45.67</v>
      </c>
      <c r="P156">
        <v>45.67</v>
      </c>
      <c r="Q156">
        <v>0</v>
      </c>
      <c r="R156">
        <v>0</v>
      </c>
      <c r="S156">
        <v>45.67</v>
      </c>
      <c r="T156">
        <v>16.19</v>
      </c>
      <c r="U156">
        <v>29.48</v>
      </c>
      <c r="V156" t="s">
        <v>62</v>
      </c>
      <c r="W156" t="s">
        <v>78</v>
      </c>
      <c r="X156" t="s">
        <v>144</v>
      </c>
      <c r="Y156" t="s">
        <v>253</v>
      </c>
      <c r="Z156">
        <v>19.99</v>
      </c>
      <c r="AA156">
        <v>1</v>
      </c>
      <c r="AB156" t="s">
        <v>88</v>
      </c>
      <c r="AC156" t="s">
        <v>67</v>
      </c>
    </row>
    <row r="157" spans="1:31">
      <c r="A157" t="s">
        <v>740</v>
      </c>
      <c r="B157" t="s">
        <v>741</v>
      </c>
      <c r="C157" t="s">
        <v>742</v>
      </c>
      <c r="D157" t="s">
        <v>92</v>
      </c>
      <c r="E157">
        <v>38</v>
      </c>
      <c r="F157" t="s">
        <v>22</v>
      </c>
      <c r="G157" t="s">
        <v>15</v>
      </c>
      <c r="H157" t="s">
        <v>374</v>
      </c>
      <c r="J157" t="s">
        <v>374</v>
      </c>
      <c r="K157" t="s">
        <v>743</v>
      </c>
      <c r="L157" t="s">
        <v>85</v>
      </c>
      <c r="M157" t="s">
        <v>226</v>
      </c>
      <c r="N157">
        <v>1</v>
      </c>
      <c r="O157">
        <v>82.63</v>
      </c>
      <c r="P157">
        <v>82.63</v>
      </c>
      <c r="Q157">
        <v>0.2</v>
      </c>
      <c r="R157">
        <v>16.53</v>
      </c>
      <c r="S157">
        <v>66.1</v>
      </c>
      <c r="T157">
        <v>54.72</v>
      </c>
      <c r="U157">
        <v>11.38</v>
      </c>
      <c r="V157" t="s">
        <v>62</v>
      </c>
      <c r="W157" t="s">
        <v>63</v>
      </c>
      <c r="X157" t="s">
        <v>87</v>
      </c>
      <c r="Y157" t="s">
        <v>65</v>
      </c>
      <c r="Z157">
        <v>5.99</v>
      </c>
      <c r="AA157">
        <v>4</v>
      </c>
      <c r="AB157" t="s">
        <v>164</v>
      </c>
      <c r="AC157" t="s">
        <v>67</v>
      </c>
    </row>
    <row r="158" spans="1:31">
      <c r="A158" t="s">
        <v>744</v>
      </c>
      <c r="B158" t="s">
        <v>745</v>
      </c>
      <c r="C158" t="s">
        <v>702</v>
      </c>
      <c r="D158" t="s">
        <v>110</v>
      </c>
      <c r="E158">
        <v>40</v>
      </c>
      <c r="F158" t="s">
        <v>21</v>
      </c>
      <c r="G158" t="s">
        <v>19</v>
      </c>
      <c r="H158" t="s">
        <v>82</v>
      </c>
      <c r="J158" t="s">
        <v>156</v>
      </c>
      <c r="K158" t="s">
        <v>746</v>
      </c>
      <c r="L158" t="s">
        <v>196</v>
      </c>
      <c r="M158" t="s">
        <v>205</v>
      </c>
      <c r="N158">
        <v>1</v>
      </c>
      <c r="O158">
        <v>93.33</v>
      </c>
      <c r="P158">
        <v>93.33</v>
      </c>
      <c r="Q158">
        <v>0</v>
      </c>
      <c r="R158">
        <v>0</v>
      </c>
      <c r="S158">
        <v>93.33</v>
      </c>
      <c r="T158">
        <v>35.19</v>
      </c>
      <c r="U158">
        <v>58.14</v>
      </c>
      <c r="V158" t="s">
        <v>62</v>
      </c>
      <c r="W158" t="s">
        <v>78</v>
      </c>
      <c r="X158" t="s">
        <v>64</v>
      </c>
      <c r="Y158" t="s">
        <v>253</v>
      </c>
      <c r="Z158">
        <v>19.99</v>
      </c>
      <c r="AA158">
        <v>1</v>
      </c>
      <c r="AB158" t="s">
        <v>66</v>
      </c>
      <c r="AC158" t="s">
        <v>67</v>
      </c>
    </row>
    <row r="159" spans="1:31">
      <c r="A159" t="s">
        <v>747</v>
      </c>
      <c r="B159" t="s">
        <v>748</v>
      </c>
      <c r="C159" t="s">
        <v>749</v>
      </c>
      <c r="D159" t="s">
        <v>71</v>
      </c>
      <c r="E159">
        <v>19</v>
      </c>
      <c r="F159" t="s">
        <v>22</v>
      </c>
      <c r="G159" t="s">
        <v>16</v>
      </c>
      <c r="H159" t="s">
        <v>57</v>
      </c>
      <c r="J159" t="s">
        <v>750</v>
      </c>
      <c r="K159" t="s">
        <v>751</v>
      </c>
      <c r="L159" t="s">
        <v>196</v>
      </c>
      <c r="M159" t="s">
        <v>242</v>
      </c>
      <c r="N159">
        <v>5</v>
      </c>
      <c r="O159">
        <v>16.4</v>
      </c>
      <c r="P159">
        <v>82</v>
      </c>
      <c r="Q159">
        <v>0.05</v>
      </c>
      <c r="R159">
        <v>4.1</v>
      </c>
      <c r="S159">
        <v>77.9</v>
      </c>
      <c r="T159">
        <v>28.34</v>
      </c>
      <c r="U159">
        <v>49.56</v>
      </c>
      <c r="V159" t="s">
        <v>77</v>
      </c>
      <c r="W159" t="s">
        <v>78</v>
      </c>
      <c r="X159" t="s">
        <v>137</v>
      </c>
      <c r="Y159" t="s">
        <v>253</v>
      </c>
      <c r="Z159">
        <v>19.99</v>
      </c>
      <c r="AA159">
        <v>1</v>
      </c>
      <c r="AB159" t="s">
        <v>185</v>
      </c>
      <c r="AC159" t="s">
        <v>67</v>
      </c>
      <c r="AE159">
        <v>5</v>
      </c>
    </row>
    <row r="160" spans="1:31">
      <c r="A160" t="s">
        <v>752</v>
      </c>
      <c r="B160" t="s">
        <v>753</v>
      </c>
      <c r="C160" t="s">
        <v>720</v>
      </c>
      <c r="D160" t="s">
        <v>56</v>
      </c>
      <c r="E160">
        <v>30</v>
      </c>
      <c r="F160" t="s">
        <v>21</v>
      </c>
      <c r="G160" t="s">
        <v>19</v>
      </c>
      <c r="H160" t="s">
        <v>148</v>
      </c>
      <c r="J160" t="s">
        <v>398</v>
      </c>
      <c r="K160" t="s">
        <v>754</v>
      </c>
      <c r="L160" t="s">
        <v>151</v>
      </c>
      <c r="M160" t="s">
        <v>163</v>
      </c>
      <c r="N160">
        <v>1</v>
      </c>
      <c r="O160">
        <v>79.9</v>
      </c>
      <c r="P160">
        <v>79.9</v>
      </c>
      <c r="Q160">
        <v>0.05</v>
      </c>
      <c r="R160">
        <v>4</v>
      </c>
      <c r="S160">
        <v>75.9</v>
      </c>
      <c r="T160">
        <v>59.65</v>
      </c>
      <c r="U160">
        <v>16.25</v>
      </c>
      <c r="V160" t="s">
        <v>221</v>
      </c>
      <c r="W160" t="s">
        <v>78</v>
      </c>
      <c r="X160" t="s">
        <v>64</v>
      </c>
      <c r="Y160" t="s">
        <v>65</v>
      </c>
      <c r="Z160">
        <v>0</v>
      </c>
      <c r="AA160">
        <v>5</v>
      </c>
      <c r="AB160" t="s">
        <v>164</v>
      </c>
      <c r="AC160" t="s">
        <v>67</v>
      </c>
      <c r="AE160">
        <v>4</v>
      </c>
    </row>
    <row r="161" spans="1:31">
      <c r="A161" t="s">
        <v>755</v>
      </c>
      <c r="B161" t="s">
        <v>756</v>
      </c>
      <c r="C161" t="s">
        <v>757</v>
      </c>
      <c r="D161" t="s">
        <v>110</v>
      </c>
      <c r="E161">
        <v>41</v>
      </c>
      <c r="F161" t="s">
        <v>22</v>
      </c>
      <c r="G161" t="s">
        <v>16</v>
      </c>
      <c r="H161" t="s">
        <v>358</v>
      </c>
      <c r="J161" t="s">
        <v>359</v>
      </c>
      <c r="K161" t="s">
        <v>758</v>
      </c>
      <c r="L161" t="s">
        <v>214</v>
      </c>
      <c r="M161" t="s">
        <v>231</v>
      </c>
      <c r="N161">
        <v>1</v>
      </c>
      <c r="O161">
        <v>45.95</v>
      </c>
      <c r="P161">
        <v>45.95</v>
      </c>
      <c r="Q161">
        <v>0.1</v>
      </c>
      <c r="R161">
        <v>4.6</v>
      </c>
      <c r="S161">
        <v>41.35</v>
      </c>
      <c r="T161">
        <v>16.04</v>
      </c>
      <c r="U161">
        <v>25.31</v>
      </c>
      <c r="V161" t="s">
        <v>77</v>
      </c>
      <c r="W161" t="s">
        <v>78</v>
      </c>
      <c r="X161" t="s">
        <v>64</v>
      </c>
      <c r="Y161" t="s">
        <v>65</v>
      </c>
      <c r="Z161">
        <v>5.99</v>
      </c>
      <c r="AA161">
        <v>7</v>
      </c>
      <c r="AB161" t="s">
        <v>164</v>
      </c>
      <c r="AC161" t="s">
        <v>67</v>
      </c>
      <c r="AE161">
        <v>5</v>
      </c>
    </row>
    <row r="162" spans="1:31">
      <c r="A162" t="s">
        <v>759</v>
      </c>
      <c r="B162" t="s">
        <v>760</v>
      </c>
      <c r="C162" t="s">
        <v>521</v>
      </c>
      <c r="D162" t="s">
        <v>92</v>
      </c>
      <c r="E162">
        <v>21</v>
      </c>
      <c r="F162" t="s">
        <v>22</v>
      </c>
      <c r="G162" t="s">
        <v>16</v>
      </c>
      <c r="H162" t="s">
        <v>57</v>
      </c>
      <c r="J162" t="s">
        <v>58</v>
      </c>
      <c r="K162" t="s">
        <v>761</v>
      </c>
      <c r="L162" t="s">
        <v>60</v>
      </c>
      <c r="M162" t="s">
        <v>128</v>
      </c>
      <c r="N162">
        <v>1</v>
      </c>
      <c r="O162">
        <v>80.43</v>
      </c>
      <c r="P162">
        <v>80.43</v>
      </c>
      <c r="Q162">
        <v>0.05</v>
      </c>
      <c r="R162">
        <v>4.02</v>
      </c>
      <c r="S162">
        <v>76.41</v>
      </c>
      <c r="T162">
        <v>44.3</v>
      </c>
      <c r="U162">
        <v>32.11</v>
      </c>
      <c r="V162" t="s">
        <v>77</v>
      </c>
      <c r="W162" t="s">
        <v>78</v>
      </c>
      <c r="X162" t="s">
        <v>64</v>
      </c>
      <c r="Y162" t="s">
        <v>65</v>
      </c>
      <c r="Z162">
        <v>0</v>
      </c>
      <c r="AA162">
        <v>4</v>
      </c>
      <c r="AB162" t="s">
        <v>192</v>
      </c>
      <c r="AC162" t="s">
        <v>67</v>
      </c>
      <c r="AE162">
        <v>5</v>
      </c>
    </row>
    <row r="163" spans="1:31">
      <c r="A163" t="s">
        <v>762</v>
      </c>
      <c r="B163" t="s">
        <v>763</v>
      </c>
      <c r="C163" t="s">
        <v>81</v>
      </c>
      <c r="D163" t="s">
        <v>92</v>
      </c>
      <c r="E163">
        <v>51</v>
      </c>
      <c r="F163" t="s">
        <v>22</v>
      </c>
      <c r="G163" t="s">
        <v>19</v>
      </c>
      <c r="H163" t="s">
        <v>82</v>
      </c>
      <c r="J163" t="s">
        <v>83</v>
      </c>
      <c r="K163" t="s">
        <v>437</v>
      </c>
      <c r="L163" t="s">
        <v>196</v>
      </c>
      <c r="M163" t="s">
        <v>197</v>
      </c>
      <c r="N163">
        <v>2</v>
      </c>
      <c r="O163">
        <v>48.48</v>
      </c>
      <c r="P163">
        <v>96.96</v>
      </c>
      <c r="Q163">
        <v>0.1</v>
      </c>
      <c r="R163">
        <v>9.7</v>
      </c>
      <c r="S163">
        <v>87.26</v>
      </c>
      <c r="T163">
        <v>39.93</v>
      </c>
      <c r="U163">
        <v>47.33</v>
      </c>
      <c r="V163" t="s">
        <v>77</v>
      </c>
      <c r="W163" t="s">
        <v>78</v>
      </c>
      <c r="X163" t="s">
        <v>137</v>
      </c>
      <c r="Y163" t="s">
        <v>65</v>
      </c>
      <c r="Z163">
        <v>0</v>
      </c>
      <c r="AA163">
        <v>4</v>
      </c>
      <c r="AB163" t="s">
        <v>247</v>
      </c>
      <c r="AC163" t="s">
        <v>67</v>
      </c>
      <c r="AE163">
        <v>5</v>
      </c>
    </row>
    <row r="164" spans="1:31">
      <c r="A164" t="s">
        <v>764</v>
      </c>
      <c r="B164" t="s">
        <v>763</v>
      </c>
      <c r="C164" t="s">
        <v>765</v>
      </c>
      <c r="D164" t="s">
        <v>92</v>
      </c>
      <c r="E164">
        <v>52</v>
      </c>
      <c r="F164" t="s">
        <v>21</v>
      </c>
      <c r="G164" t="s">
        <v>19</v>
      </c>
      <c r="H164" t="s">
        <v>82</v>
      </c>
      <c r="J164" t="s">
        <v>83</v>
      </c>
      <c r="K164" t="s">
        <v>766</v>
      </c>
      <c r="L164" t="s">
        <v>196</v>
      </c>
      <c r="M164" t="s">
        <v>341</v>
      </c>
      <c r="N164">
        <v>2</v>
      </c>
      <c r="O164">
        <v>85.04</v>
      </c>
      <c r="P164">
        <v>170.08</v>
      </c>
      <c r="Q164">
        <v>0.2</v>
      </c>
      <c r="R164">
        <v>34.02</v>
      </c>
      <c r="S164">
        <v>136.06</v>
      </c>
      <c r="T164">
        <v>65.17</v>
      </c>
      <c r="U164">
        <v>70.89</v>
      </c>
      <c r="V164" t="s">
        <v>62</v>
      </c>
      <c r="W164" t="s">
        <v>78</v>
      </c>
      <c r="X164" t="s">
        <v>64</v>
      </c>
      <c r="Y164" t="s">
        <v>65</v>
      </c>
      <c r="Z164">
        <v>0</v>
      </c>
      <c r="AA164">
        <v>7</v>
      </c>
      <c r="AB164" t="s">
        <v>66</v>
      </c>
      <c r="AC164" t="s">
        <v>67</v>
      </c>
      <c r="AE164">
        <v>4</v>
      </c>
    </row>
    <row r="165" spans="1:31">
      <c r="A165" t="s">
        <v>767</v>
      </c>
      <c r="B165" t="s">
        <v>768</v>
      </c>
      <c r="C165" t="s">
        <v>556</v>
      </c>
      <c r="D165" t="s">
        <v>92</v>
      </c>
      <c r="E165">
        <v>39</v>
      </c>
      <c r="F165" t="s">
        <v>22</v>
      </c>
      <c r="G165" t="s">
        <v>19</v>
      </c>
      <c r="H165" t="s">
        <v>82</v>
      </c>
      <c r="J165" t="s">
        <v>83</v>
      </c>
      <c r="K165" t="s">
        <v>769</v>
      </c>
      <c r="L165" t="s">
        <v>75</v>
      </c>
      <c r="M165" t="s">
        <v>638</v>
      </c>
      <c r="N165">
        <v>1</v>
      </c>
      <c r="O165">
        <v>25.79</v>
      </c>
      <c r="P165">
        <v>25.79</v>
      </c>
      <c r="Q165">
        <v>0</v>
      </c>
      <c r="R165">
        <v>0</v>
      </c>
      <c r="S165">
        <v>25.79</v>
      </c>
      <c r="T165">
        <v>15.52</v>
      </c>
      <c r="U165">
        <v>10.27</v>
      </c>
      <c r="V165" t="s">
        <v>77</v>
      </c>
      <c r="W165" t="s">
        <v>78</v>
      </c>
      <c r="X165" t="s">
        <v>87</v>
      </c>
      <c r="Y165" t="s">
        <v>65</v>
      </c>
      <c r="Z165">
        <v>5.99</v>
      </c>
      <c r="AA165">
        <v>5</v>
      </c>
      <c r="AB165" t="s">
        <v>185</v>
      </c>
      <c r="AC165" t="s">
        <v>67</v>
      </c>
      <c r="AE165">
        <v>5</v>
      </c>
    </row>
    <row r="166" spans="1:31">
      <c r="A166" t="s">
        <v>770</v>
      </c>
      <c r="B166" t="s">
        <v>771</v>
      </c>
      <c r="C166" t="s">
        <v>772</v>
      </c>
      <c r="D166" t="s">
        <v>92</v>
      </c>
      <c r="E166">
        <v>39</v>
      </c>
      <c r="F166" t="s">
        <v>22</v>
      </c>
      <c r="G166" t="s">
        <v>15</v>
      </c>
      <c r="H166" t="s">
        <v>374</v>
      </c>
      <c r="J166" t="s">
        <v>374</v>
      </c>
      <c r="K166" t="s">
        <v>766</v>
      </c>
      <c r="L166" t="s">
        <v>196</v>
      </c>
      <c r="M166" t="s">
        <v>341</v>
      </c>
      <c r="N166">
        <v>1</v>
      </c>
      <c r="O166">
        <v>216.65</v>
      </c>
      <c r="P166">
        <v>216.65</v>
      </c>
      <c r="Q166">
        <v>0.05</v>
      </c>
      <c r="R166">
        <v>10.83</v>
      </c>
      <c r="S166">
        <v>205.82</v>
      </c>
      <c r="T166">
        <v>104.54</v>
      </c>
      <c r="U166">
        <v>101.28</v>
      </c>
      <c r="V166" t="s">
        <v>221</v>
      </c>
      <c r="W166" t="s">
        <v>78</v>
      </c>
      <c r="X166" t="s">
        <v>87</v>
      </c>
      <c r="Y166" t="s">
        <v>107</v>
      </c>
      <c r="Z166">
        <v>12.99</v>
      </c>
      <c r="AA166">
        <v>3</v>
      </c>
      <c r="AB166" t="s">
        <v>66</v>
      </c>
      <c r="AC166" t="s">
        <v>67</v>
      </c>
    </row>
    <row r="167" spans="1:31">
      <c r="A167" t="s">
        <v>773</v>
      </c>
      <c r="B167" t="s">
        <v>771</v>
      </c>
      <c r="C167" t="s">
        <v>774</v>
      </c>
      <c r="D167" t="s">
        <v>71</v>
      </c>
      <c r="E167">
        <v>37</v>
      </c>
      <c r="F167" t="s">
        <v>21</v>
      </c>
      <c r="G167" t="s">
        <v>19</v>
      </c>
      <c r="H167" t="s">
        <v>124</v>
      </c>
      <c r="I167" t="s">
        <v>167</v>
      </c>
      <c r="J167" t="s">
        <v>390</v>
      </c>
      <c r="K167" t="s">
        <v>529</v>
      </c>
      <c r="L167" t="s">
        <v>85</v>
      </c>
      <c r="M167" t="s">
        <v>86</v>
      </c>
      <c r="N167">
        <v>1</v>
      </c>
      <c r="O167">
        <v>95.47</v>
      </c>
      <c r="P167">
        <v>95.47</v>
      </c>
      <c r="Q167">
        <v>0.3</v>
      </c>
      <c r="R167">
        <v>28.64</v>
      </c>
      <c r="S167">
        <v>66.83</v>
      </c>
      <c r="T167">
        <v>53.95</v>
      </c>
      <c r="U167">
        <v>12.88</v>
      </c>
      <c r="V167" t="s">
        <v>77</v>
      </c>
      <c r="W167" t="s">
        <v>78</v>
      </c>
      <c r="X167" t="s">
        <v>64</v>
      </c>
      <c r="Y167" t="s">
        <v>253</v>
      </c>
      <c r="Z167">
        <v>19.99</v>
      </c>
      <c r="AA167">
        <v>1</v>
      </c>
      <c r="AB167" t="s">
        <v>97</v>
      </c>
      <c r="AC167" t="s">
        <v>67</v>
      </c>
      <c r="AE167">
        <v>5</v>
      </c>
    </row>
    <row r="168" spans="1:31">
      <c r="A168" t="s">
        <v>775</v>
      </c>
      <c r="B168" t="s">
        <v>776</v>
      </c>
      <c r="C168" t="s">
        <v>777</v>
      </c>
      <c r="D168" t="s">
        <v>71</v>
      </c>
      <c r="E168">
        <v>30</v>
      </c>
      <c r="F168" t="s">
        <v>21</v>
      </c>
      <c r="G168" t="s">
        <v>16</v>
      </c>
      <c r="H168" t="s">
        <v>472</v>
      </c>
      <c r="J168" t="s">
        <v>778</v>
      </c>
      <c r="K168" t="s">
        <v>779</v>
      </c>
      <c r="L168" t="s">
        <v>214</v>
      </c>
      <c r="M168" t="s">
        <v>780</v>
      </c>
      <c r="N168">
        <v>1</v>
      </c>
      <c r="O168">
        <v>8.26</v>
      </c>
      <c r="P168">
        <v>8.26</v>
      </c>
      <c r="Q168">
        <v>0</v>
      </c>
      <c r="R168">
        <v>0</v>
      </c>
      <c r="S168">
        <v>8.26</v>
      </c>
      <c r="T168">
        <v>3.08</v>
      </c>
      <c r="U168">
        <v>5.18</v>
      </c>
      <c r="V168" t="s">
        <v>62</v>
      </c>
      <c r="W168" t="s">
        <v>114</v>
      </c>
      <c r="X168" t="s">
        <v>64</v>
      </c>
      <c r="Y168" t="s">
        <v>107</v>
      </c>
      <c r="Z168">
        <v>12.99</v>
      </c>
      <c r="AA168">
        <v>3</v>
      </c>
      <c r="AB168" t="s">
        <v>66</v>
      </c>
      <c r="AC168" t="s">
        <v>67</v>
      </c>
      <c r="AE168">
        <v>5</v>
      </c>
    </row>
    <row r="169" spans="1:31">
      <c r="A169" t="s">
        <v>781</v>
      </c>
      <c r="B169" t="s">
        <v>776</v>
      </c>
      <c r="C169" t="s">
        <v>357</v>
      </c>
      <c r="D169" t="s">
        <v>92</v>
      </c>
      <c r="E169">
        <v>34</v>
      </c>
      <c r="F169" t="s">
        <v>22</v>
      </c>
      <c r="G169" t="s">
        <v>16</v>
      </c>
      <c r="H169" t="s">
        <v>358</v>
      </c>
      <c r="J169" t="s">
        <v>359</v>
      </c>
      <c r="K169" t="s">
        <v>782</v>
      </c>
      <c r="L169" t="s">
        <v>85</v>
      </c>
      <c r="M169" t="s">
        <v>354</v>
      </c>
      <c r="N169">
        <v>1</v>
      </c>
      <c r="O169">
        <v>590.51</v>
      </c>
      <c r="P169">
        <v>590.51</v>
      </c>
      <c r="Q169">
        <v>0.15</v>
      </c>
      <c r="R169">
        <v>88.58</v>
      </c>
      <c r="S169">
        <v>501.93</v>
      </c>
      <c r="T169">
        <v>386.89</v>
      </c>
      <c r="U169">
        <v>115.04</v>
      </c>
      <c r="V169" t="s">
        <v>96</v>
      </c>
      <c r="W169" t="s">
        <v>114</v>
      </c>
      <c r="X169" t="s">
        <v>64</v>
      </c>
      <c r="Y169" t="s">
        <v>107</v>
      </c>
      <c r="Z169">
        <v>12.99</v>
      </c>
      <c r="AA169">
        <v>2</v>
      </c>
      <c r="AB169" t="s">
        <v>97</v>
      </c>
      <c r="AC169" t="s">
        <v>271</v>
      </c>
      <c r="AD169" t="s">
        <v>272</v>
      </c>
    </row>
    <row r="170" spans="1:31">
      <c r="A170" t="s">
        <v>783</v>
      </c>
      <c r="B170" t="s">
        <v>784</v>
      </c>
      <c r="C170" t="s">
        <v>284</v>
      </c>
      <c r="D170" t="s">
        <v>92</v>
      </c>
      <c r="E170">
        <v>21</v>
      </c>
      <c r="F170" t="s">
        <v>21</v>
      </c>
      <c r="G170" t="s">
        <v>16</v>
      </c>
      <c r="H170" t="s">
        <v>57</v>
      </c>
      <c r="J170" t="s">
        <v>285</v>
      </c>
      <c r="K170" t="s">
        <v>150</v>
      </c>
      <c r="L170" t="s">
        <v>151</v>
      </c>
      <c r="M170" t="s">
        <v>152</v>
      </c>
      <c r="N170">
        <v>1</v>
      </c>
      <c r="O170">
        <v>9.75</v>
      </c>
      <c r="P170">
        <v>9.75</v>
      </c>
      <c r="Q170">
        <v>0</v>
      </c>
      <c r="R170">
        <v>0</v>
      </c>
      <c r="S170">
        <v>9.75</v>
      </c>
      <c r="T170">
        <v>6.83</v>
      </c>
      <c r="U170">
        <v>2.92</v>
      </c>
      <c r="V170" t="s">
        <v>62</v>
      </c>
      <c r="W170" t="s">
        <v>63</v>
      </c>
      <c r="X170" t="s">
        <v>64</v>
      </c>
      <c r="Y170" t="s">
        <v>107</v>
      </c>
      <c r="Z170">
        <v>12.99</v>
      </c>
      <c r="AA170">
        <v>3</v>
      </c>
      <c r="AB170" t="s">
        <v>185</v>
      </c>
      <c r="AC170" t="s">
        <v>67</v>
      </c>
    </row>
    <row r="171" spans="1:31">
      <c r="A171" t="s">
        <v>785</v>
      </c>
      <c r="B171" t="s">
        <v>786</v>
      </c>
      <c r="C171" t="s">
        <v>268</v>
      </c>
      <c r="D171" t="s">
        <v>92</v>
      </c>
      <c r="E171">
        <v>50</v>
      </c>
      <c r="F171" t="s">
        <v>22</v>
      </c>
      <c r="G171" t="s">
        <v>18</v>
      </c>
      <c r="H171" t="s">
        <v>141</v>
      </c>
      <c r="J171" t="s">
        <v>142</v>
      </c>
      <c r="K171" t="s">
        <v>327</v>
      </c>
      <c r="L171" t="s">
        <v>196</v>
      </c>
      <c r="M171" t="s">
        <v>209</v>
      </c>
      <c r="N171">
        <v>2</v>
      </c>
      <c r="O171">
        <v>24.17</v>
      </c>
      <c r="P171">
        <v>48.34</v>
      </c>
      <c r="Q171">
        <v>0</v>
      </c>
      <c r="R171">
        <v>0</v>
      </c>
      <c r="S171">
        <v>48.34</v>
      </c>
      <c r="T171">
        <v>24.32</v>
      </c>
      <c r="U171">
        <v>24.02</v>
      </c>
      <c r="V171" t="s">
        <v>62</v>
      </c>
      <c r="W171" t="s">
        <v>78</v>
      </c>
      <c r="X171" t="s">
        <v>137</v>
      </c>
      <c r="Y171" t="s">
        <v>305</v>
      </c>
      <c r="Z171">
        <v>2.99</v>
      </c>
      <c r="AA171">
        <v>8</v>
      </c>
      <c r="AB171" t="s">
        <v>247</v>
      </c>
      <c r="AC171" t="s">
        <v>67</v>
      </c>
    </row>
    <row r="172" spans="1:31">
      <c r="A172" t="s">
        <v>787</v>
      </c>
      <c r="B172" t="s">
        <v>788</v>
      </c>
      <c r="C172" t="s">
        <v>159</v>
      </c>
      <c r="D172" t="s">
        <v>110</v>
      </c>
      <c r="E172">
        <v>47</v>
      </c>
      <c r="F172" t="s">
        <v>21</v>
      </c>
      <c r="G172" t="s">
        <v>17</v>
      </c>
      <c r="H172" t="s">
        <v>160</v>
      </c>
      <c r="J172" t="s">
        <v>161</v>
      </c>
      <c r="K172" t="s">
        <v>789</v>
      </c>
      <c r="L172" t="s">
        <v>104</v>
      </c>
      <c r="M172" t="s">
        <v>790</v>
      </c>
      <c r="N172">
        <v>1</v>
      </c>
      <c r="O172">
        <v>286.17</v>
      </c>
      <c r="P172">
        <v>286.17</v>
      </c>
      <c r="Q172">
        <v>0</v>
      </c>
      <c r="R172">
        <v>0</v>
      </c>
      <c r="S172">
        <v>286.17</v>
      </c>
      <c r="T172">
        <v>209.99</v>
      </c>
      <c r="U172">
        <v>76.18</v>
      </c>
      <c r="V172" t="s">
        <v>62</v>
      </c>
      <c r="W172" t="s">
        <v>78</v>
      </c>
      <c r="X172" t="s">
        <v>137</v>
      </c>
      <c r="Y172" t="s">
        <v>107</v>
      </c>
      <c r="Z172">
        <v>12.99</v>
      </c>
      <c r="AA172">
        <v>2</v>
      </c>
      <c r="AB172" t="s">
        <v>66</v>
      </c>
      <c r="AC172" t="s">
        <v>67</v>
      </c>
      <c r="AE172">
        <v>5</v>
      </c>
    </row>
    <row r="173" spans="1:31">
      <c r="A173" t="s">
        <v>791</v>
      </c>
      <c r="B173" t="s">
        <v>792</v>
      </c>
      <c r="C173" t="s">
        <v>793</v>
      </c>
      <c r="D173" t="s">
        <v>110</v>
      </c>
      <c r="E173">
        <v>48</v>
      </c>
      <c r="F173" t="s">
        <v>21</v>
      </c>
      <c r="G173" t="s">
        <v>15</v>
      </c>
      <c r="H173" t="s">
        <v>374</v>
      </c>
      <c r="J173" t="s">
        <v>374</v>
      </c>
      <c r="K173" t="s">
        <v>758</v>
      </c>
      <c r="L173" t="s">
        <v>214</v>
      </c>
      <c r="M173" t="s">
        <v>231</v>
      </c>
      <c r="N173">
        <v>1</v>
      </c>
      <c r="O173">
        <v>28.77</v>
      </c>
      <c r="P173">
        <v>28.77</v>
      </c>
      <c r="Q173">
        <v>0.1</v>
      </c>
      <c r="R173">
        <v>2.88</v>
      </c>
      <c r="S173">
        <v>25.89</v>
      </c>
      <c r="T173">
        <v>8.6</v>
      </c>
      <c r="U173">
        <v>17.29</v>
      </c>
      <c r="V173" t="s">
        <v>221</v>
      </c>
      <c r="W173" t="s">
        <v>114</v>
      </c>
      <c r="X173" t="s">
        <v>64</v>
      </c>
      <c r="Y173" t="s">
        <v>65</v>
      </c>
      <c r="Z173">
        <v>5.99</v>
      </c>
      <c r="AA173">
        <v>5</v>
      </c>
      <c r="AB173" t="s">
        <v>164</v>
      </c>
      <c r="AC173" t="s">
        <v>67</v>
      </c>
      <c r="AE173">
        <v>5</v>
      </c>
    </row>
    <row r="174" spans="1:31">
      <c r="A174" t="s">
        <v>794</v>
      </c>
      <c r="B174" t="s">
        <v>795</v>
      </c>
      <c r="C174" t="s">
        <v>796</v>
      </c>
      <c r="D174" t="s">
        <v>56</v>
      </c>
      <c r="E174">
        <v>36</v>
      </c>
      <c r="F174" t="s">
        <v>21</v>
      </c>
      <c r="G174" t="s">
        <v>16</v>
      </c>
      <c r="H174" t="s">
        <v>250</v>
      </c>
      <c r="J174" t="s">
        <v>322</v>
      </c>
      <c r="K174" t="s">
        <v>546</v>
      </c>
      <c r="L174" t="s">
        <v>177</v>
      </c>
      <c r="M174" t="s">
        <v>184</v>
      </c>
      <c r="N174">
        <v>1</v>
      </c>
      <c r="O174">
        <v>300.83</v>
      </c>
      <c r="P174">
        <v>300.83</v>
      </c>
      <c r="Q174">
        <v>0</v>
      </c>
      <c r="R174">
        <v>0</v>
      </c>
      <c r="S174">
        <v>300.83</v>
      </c>
      <c r="T174">
        <v>172.56</v>
      </c>
      <c r="U174">
        <v>128.27</v>
      </c>
      <c r="V174" t="s">
        <v>62</v>
      </c>
      <c r="W174" t="s">
        <v>78</v>
      </c>
      <c r="X174" t="s">
        <v>64</v>
      </c>
      <c r="Y174" t="s">
        <v>65</v>
      </c>
      <c r="Z174">
        <v>0</v>
      </c>
      <c r="AA174">
        <v>4</v>
      </c>
      <c r="AB174" t="s">
        <v>164</v>
      </c>
      <c r="AC174" t="s">
        <v>67</v>
      </c>
    </row>
    <row r="175" spans="1:31">
      <c r="A175" t="s">
        <v>797</v>
      </c>
      <c r="B175" t="s">
        <v>798</v>
      </c>
      <c r="C175" t="s">
        <v>799</v>
      </c>
      <c r="D175" t="s">
        <v>92</v>
      </c>
      <c r="E175">
        <v>24</v>
      </c>
      <c r="F175" t="s">
        <v>23</v>
      </c>
      <c r="G175" t="s">
        <v>15</v>
      </c>
      <c r="H175" t="s">
        <v>93</v>
      </c>
      <c r="J175" t="s">
        <v>93</v>
      </c>
      <c r="K175" t="s">
        <v>84</v>
      </c>
      <c r="L175" t="s">
        <v>85</v>
      </c>
      <c r="M175" t="s">
        <v>86</v>
      </c>
      <c r="N175">
        <v>3</v>
      </c>
      <c r="O175">
        <v>93.1</v>
      </c>
      <c r="P175">
        <v>279.3</v>
      </c>
      <c r="Q175">
        <v>0.1</v>
      </c>
      <c r="R175">
        <v>27.93</v>
      </c>
      <c r="S175">
        <v>251.37</v>
      </c>
      <c r="T175">
        <v>186.16</v>
      </c>
      <c r="U175">
        <v>65.21</v>
      </c>
      <c r="V175" t="s">
        <v>77</v>
      </c>
      <c r="W175" t="s">
        <v>78</v>
      </c>
      <c r="X175" t="s">
        <v>115</v>
      </c>
      <c r="Y175" t="s">
        <v>253</v>
      </c>
      <c r="Z175">
        <v>19.99</v>
      </c>
      <c r="AA175">
        <v>1</v>
      </c>
      <c r="AB175" t="s">
        <v>164</v>
      </c>
      <c r="AC175" t="s">
        <v>67</v>
      </c>
      <c r="AE175">
        <v>5</v>
      </c>
    </row>
    <row r="176" spans="1:31">
      <c r="A176" t="s">
        <v>800</v>
      </c>
      <c r="B176" t="s">
        <v>801</v>
      </c>
      <c r="C176" t="s">
        <v>802</v>
      </c>
      <c r="D176" t="s">
        <v>110</v>
      </c>
      <c r="E176">
        <v>42</v>
      </c>
      <c r="F176" t="s">
        <v>22</v>
      </c>
      <c r="G176" t="s">
        <v>19</v>
      </c>
      <c r="H176" t="s">
        <v>82</v>
      </c>
      <c r="J176" t="s">
        <v>83</v>
      </c>
      <c r="K176" t="s">
        <v>505</v>
      </c>
      <c r="L176" t="s">
        <v>104</v>
      </c>
      <c r="M176" t="s">
        <v>361</v>
      </c>
      <c r="N176">
        <v>2</v>
      </c>
      <c r="O176">
        <v>257.19</v>
      </c>
      <c r="P176">
        <v>514.38</v>
      </c>
      <c r="Q176">
        <v>0.3</v>
      </c>
      <c r="R176">
        <v>154.31</v>
      </c>
      <c r="S176">
        <v>360.07</v>
      </c>
      <c r="T176">
        <v>250.79</v>
      </c>
      <c r="U176">
        <v>109.28</v>
      </c>
      <c r="V176" t="s">
        <v>62</v>
      </c>
      <c r="W176" t="s">
        <v>114</v>
      </c>
      <c r="X176" t="s">
        <v>115</v>
      </c>
      <c r="Y176" t="s">
        <v>253</v>
      </c>
      <c r="Z176">
        <v>19.99</v>
      </c>
      <c r="AA176">
        <v>1</v>
      </c>
      <c r="AB176" t="s">
        <v>66</v>
      </c>
      <c r="AC176" t="s">
        <v>67</v>
      </c>
    </row>
    <row r="177" spans="1:31">
      <c r="A177" t="s">
        <v>803</v>
      </c>
      <c r="B177" t="s">
        <v>804</v>
      </c>
      <c r="C177" t="s">
        <v>749</v>
      </c>
      <c r="D177" t="s">
        <v>110</v>
      </c>
      <c r="E177">
        <v>19</v>
      </c>
      <c r="F177" t="s">
        <v>22</v>
      </c>
      <c r="G177" t="s">
        <v>16</v>
      </c>
      <c r="H177" t="s">
        <v>57</v>
      </c>
      <c r="J177" t="s">
        <v>750</v>
      </c>
      <c r="K177" t="s">
        <v>805</v>
      </c>
      <c r="L177" t="s">
        <v>75</v>
      </c>
      <c r="M177" t="s">
        <v>76</v>
      </c>
      <c r="N177">
        <v>1</v>
      </c>
      <c r="O177">
        <v>26.35</v>
      </c>
      <c r="P177">
        <v>26.35</v>
      </c>
      <c r="Q177">
        <v>0</v>
      </c>
      <c r="R177">
        <v>0</v>
      </c>
      <c r="S177">
        <v>26.35</v>
      </c>
      <c r="T177">
        <v>17.38</v>
      </c>
      <c r="U177">
        <v>8.97</v>
      </c>
      <c r="V177" t="s">
        <v>77</v>
      </c>
      <c r="W177" t="s">
        <v>78</v>
      </c>
      <c r="X177" t="s">
        <v>144</v>
      </c>
      <c r="Y177" t="s">
        <v>65</v>
      </c>
      <c r="Z177">
        <v>5.99</v>
      </c>
      <c r="AA177">
        <v>6</v>
      </c>
      <c r="AB177" t="s">
        <v>97</v>
      </c>
      <c r="AC177" t="s">
        <v>67</v>
      </c>
    </row>
    <row r="178" spans="1:31">
      <c r="A178" t="s">
        <v>806</v>
      </c>
      <c r="B178" t="s">
        <v>807</v>
      </c>
      <c r="C178" t="s">
        <v>326</v>
      </c>
      <c r="D178" t="s">
        <v>110</v>
      </c>
      <c r="E178">
        <v>54</v>
      </c>
      <c r="F178" t="s">
        <v>21</v>
      </c>
      <c r="G178" t="s">
        <v>16</v>
      </c>
      <c r="H178" t="s">
        <v>300</v>
      </c>
      <c r="J178" t="s">
        <v>301</v>
      </c>
      <c r="K178" t="s">
        <v>375</v>
      </c>
      <c r="L178" t="s">
        <v>104</v>
      </c>
      <c r="M178" t="s">
        <v>376</v>
      </c>
      <c r="N178">
        <v>1</v>
      </c>
      <c r="O178">
        <v>182.95</v>
      </c>
      <c r="P178">
        <v>182.95</v>
      </c>
      <c r="Q178">
        <v>0</v>
      </c>
      <c r="R178">
        <v>0</v>
      </c>
      <c r="S178">
        <v>182.95</v>
      </c>
      <c r="T178">
        <v>124.19</v>
      </c>
      <c r="U178">
        <v>58.76</v>
      </c>
      <c r="V178" t="s">
        <v>62</v>
      </c>
      <c r="W178" t="s">
        <v>78</v>
      </c>
      <c r="X178" t="s">
        <v>115</v>
      </c>
      <c r="Y178" t="s">
        <v>107</v>
      </c>
      <c r="Z178">
        <v>12.99</v>
      </c>
      <c r="AA178">
        <v>2</v>
      </c>
      <c r="AB178" t="s">
        <v>164</v>
      </c>
      <c r="AC178" t="s">
        <v>67</v>
      </c>
    </row>
    <row r="179" spans="1:31">
      <c r="A179" t="s">
        <v>808</v>
      </c>
      <c r="B179" t="s">
        <v>809</v>
      </c>
      <c r="C179" t="s">
        <v>733</v>
      </c>
      <c r="D179" t="s">
        <v>92</v>
      </c>
      <c r="E179">
        <v>40</v>
      </c>
      <c r="F179" t="s">
        <v>22</v>
      </c>
      <c r="G179" t="s">
        <v>15</v>
      </c>
      <c r="H179" t="s">
        <v>435</v>
      </c>
      <c r="J179" t="s">
        <v>494</v>
      </c>
      <c r="K179" t="s">
        <v>810</v>
      </c>
      <c r="L179" t="s">
        <v>214</v>
      </c>
      <c r="M179" t="s">
        <v>215</v>
      </c>
      <c r="N179">
        <v>2</v>
      </c>
      <c r="O179">
        <v>18.85</v>
      </c>
      <c r="P179">
        <v>37.7</v>
      </c>
      <c r="Q179">
        <v>0.1</v>
      </c>
      <c r="R179">
        <v>3.77</v>
      </c>
      <c r="S179">
        <v>33.93</v>
      </c>
      <c r="T179">
        <v>15.91</v>
      </c>
      <c r="U179">
        <v>18.02</v>
      </c>
      <c r="V179" t="s">
        <v>221</v>
      </c>
      <c r="W179" t="s">
        <v>78</v>
      </c>
      <c r="X179" t="s">
        <v>87</v>
      </c>
      <c r="Y179" t="s">
        <v>65</v>
      </c>
      <c r="Z179">
        <v>5.99</v>
      </c>
      <c r="AA179">
        <v>5</v>
      </c>
      <c r="AB179" t="s">
        <v>192</v>
      </c>
      <c r="AC179" t="s">
        <v>67</v>
      </c>
      <c r="AE179">
        <v>5</v>
      </c>
    </row>
    <row r="180" spans="1:31">
      <c r="A180" t="s">
        <v>811</v>
      </c>
      <c r="B180" t="s">
        <v>812</v>
      </c>
      <c r="C180" t="s">
        <v>813</v>
      </c>
      <c r="D180" t="s">
        <v>110</v>
      </c>
      <c r="E180">
        <v>23</v>
      </c>
      <c r="F180" t="s">
        <v>21</v>
      </c>
      <c r="G180" t="s">
        <v>19</v>
      </c>
      <c r="H180" t="s">
        <v>124</v>
      </c>
      <c r="I180" t="s">
        <v>710</v>
      </c>
      <c r="J180" t="s">
        <v>126</v>
      </c>
      <c r="K180" t="s">
        <v>814</v>
      </c>
      <c r="L180" t="s">
        <v>151</v>
      </c>
      <c r="M180" t="s">
        <v>336</v>
      </c>
      <c r="N180">
        <v>1</v>
      </c>
      <c r="O180">
        <v>26.28</v>
      </c>
      <c r="P180">
        <v>26.28</v>
      </c>
      <c r="Q180">
        <v>0.15</v>
      </c>
      <c r="R180">
        <v>3.94</v>
      </c>
      <c r="S180">
        <v>22.34</v>
      </c>
      <c r="T180">
        <v>18.08</v>
      </c>
      <c r="U180">
        <v>4.26</v>
      </c>
      <c r="V180" t="s">
        <v>62</v>
      </c>
      <c r="W180" t="s">
        <v>114</v>
      </c>
      <c r="X180" t="s">
        <v>64</v>
      </c>
      <c r="Y180" t="s">
        <v>65</v>
      </c>
      <c r="Z180">
        <v>5.99</v>
      </c>
      <c r="AA180">
        <v>7</v>
      </c>
      <c r="AB180" t="s">
        <v>247</v>
      </c>
      <c r="AC180" t="s">
        <v>67</v>
      </c>
      <c r="AE180">
        <v>5</v>
      </c>
    </row>
    <row r="181" spans="1:31">
      <c r="A181" t="s">
        <v>815</v>
      </c>
      <c r="B181" t="s">
        <v>816</v>
      </c>
      <c r="C181" t="s">
        <v>817</v>
      </c>
      <c r="D181" t="s">
        <v>110</v>
      </c>
      <c r="E181">
        <v>42</v>
      </c>
      <c r="F181" t="s">
        <v>22</v>
      </c>
      <c r="G181" t="s">
        <v>19</v>
      </c>
      <c r="H181" t="s">
        <v>82</v>
      </c>
      <c r="J181" t="s">
        <v>229</v>
      </c>
      <c r="K181" t="s">
        <v>340</v>
      </c>
      <c r="L181" t="s">
        <v>196</v>
      </c>
      <c r="M181" t="s">
        <v>341</v>
      </c>
      <c r="N181">
        <v>1</v>
      </c>
      <c r="O181">
        <v>75.21</v>
      </c>
      <c r="P181">
        <v>75.21</v>
      </c>
      <c r="Q181">
        <v>0.05</v>
      </c>
      <c r="R181">
        <v>3.76</v>
      </c>
      <c r="S181">
        <v>71.45</v>
      </c>
      <c r="T181">
        <v>38.05</v>
      </c>
      <c r="U181">
        <v>33.4</v>
      </c>
      <c r="V181" t="s">
        <v>62</v>
      </c>
      <c r="W181" t="s">
        <v>63</v>
      </c>
      <c r="X181" t="s">
        <v>64</v>
      </c>
      <c r="Y181" t="s">
        <v>65</v>
      </c>
      <c r="Z181">
        <v>5.99</v>
      </c>
      <c r="AA181">
        <v>5</v>
      </c>
      <c r="AB181" t="s">
        <v>281</v>
      </c>
      <c r="AC181" t="s">
        <v>67</v>
      </c>
      <c r="AE181">
        <v>5</v>
      </c>
    </row>
    <row r="182" spans="1:31">
      <c r="A182" t="s">
        <v>818</v>
      </c>
      <c r="B182" t="s">
        <v>819</v>
      </c>
      <c r="C182" t="s">
        <v>583</v>
      </c>
      <c r="D182" t="s">
        <v>92</v>
      </c>
      <c r="E182">
        <v>57</v>
      </c>
      <c r="F182" t="s">
        <v>21</v>
      </c>
      <c r="G182" t="s">
        <v>16</v>
      </c>
      <c r="H182" t="s">
        <v>358</v>
      </c>
      <c r="J182" t="s">
        <v>584</v>
      </c>
      <c r="K182" t="s">
        <v>820</v>
      </c>
      <c r="L182" t="s">
        <v>214</v>
      </c>
      <c r="M182" t="s">
        <v>231</v>
      </c>
      <c r="N182">
        <v>4</v>
      </c>
      <c r="O182">
        <v>22.02</v>
      </c>
      <c r="P182">
        <v>88.08</v>
      </c>
      <c r="Q182">
        <v>0.1</v>
      </c>
      <c r="R182">
        <v>8.81</v>
      </c>
      <c r="S182">
        <v>79.27</v>
      </c>
      <c r="T182">
        <v>27.37</v>
      </c>
      <c r="U182">
        <v>51.9</v>
      </c>
      <c r="V182" t="s">
        <v>62</v>
      </c>
      <c r="W182" t="s">
        <v>78</v>
      </c>
      <c r="X182" t="s">
        <v>64</v>
      </c>
      <c r="Y182" t="s">
        <v>253</v>
      </c>
      <c r="Z182">
        <v>19.99</v>
      </c>
      <c r="AA182">
        <v>1</v>
      </c>
      <c r="AB182" t="s">
        <v>192</v>
      </c>
      <c r="AC182" t="s">
        <v>67</v>
      </c>
    </row>
    <row r="183" spans="1:31">
      <c r="A183" t="s">
        <v>821</v>
      </c>
      <c r="B183" t="s">
        <v>822</v>
      </c>
      <c r="C183" t="s">
        <v>823</v>
      </c>
      <c r="D183" t="s">
        <v>110</v>
      </c>
      <c r="E183">
        <v>65</v>
      </c>
      <c r="F183" t="s">
        <v>21</v>
      </c>
      <c r="G183" t="s">
        <v>19</v>
      </c>
      <c r="H183" t="s">
        <v>124</v>
      </c>
      <c r="I183" t="s">
        <v>697</v>
      </c>
      <c r="J183" t="s">
        <v>824</v>
      </c>
      <c r="K183" t="s">
        <v>563</v>
      </c>
      <c r="L183" t="s">
        <v>60</v>
      </c>
      <c r="M183" t="s">
        <v>518</v>
      </c>
      <c r="N183">
        <v>2</v>
      </c>
      <c r="O183">
        <v>118.55</v>
      </c>
      <c r="P183">
        <v>237.1</v>
      </c>
      <c r="Q183">
        <v>0.15</v>
      </c>
      <c r="R183">
        <v>35.56</v>
      </c>
      <c r="S183">
        <v>201.54</v>
      </c>
      <c r="T183">
        <v>107.06</v>
      </c>
      <c r="U183">
        <v>94.48</v>
      </c>
      <c r="V183" t="s">
        <v>221</v>
      </c>
      <c r="W183" t="s">
        <v>114</v>
      </c>
      <c r="X183" t="s">
        <v>64</v>
      </c>
      <c r="Y183" t="s">
        <v>305</v>
      </c>
      <c r="Z183">
        <v>0</v>
      </c>
      <c r="AA183">
        <v>8</v>
      </c>
      <c r="AB183" t="s">
        <v>281</v>
      </c>
      <c r="AC183" t="s">
        <v>67</v>
      </c>
      <c r="AE183">
        <v>4</v>
      </c>
    </row>
    <row r="184" spans="1:31">
      <c r="A184" t="s">
        <v>825</v>
      </c>
      <c r="B184" t="s">
        <v>826</v>
      </c>
      <c r="C184" t="s">
        <v>245</v>
      </c>
      <c r="D184" t="s">
        <v>71</v>
      </c>
      <c r="E184">
        <v>35</v>
      </c>
      <c r="F184" t="s">
        <v>21</v>
      </c>
      <c r="G184" t="s">
        <v>17</v>
      </c>
      <c r="H184" t="s">
        <v>101</v>
      </c>
      <c r="J184" t="s">
        <v>102</v>
      </c>
      <c r="K184" t="s">
        <v>481</v>
      </c>
      <c r="L184" t="s">
        <v>85</v>
      </c>
      <c r="M184" t="s">
        <v>86</v>
      </c>
      <c r="N184">
        <v>1</v>
      </c>
      <c r="O184">
        <v>1116.88</v>
      </c>
      <c r="P184">
        <v>1116.88</v>
      </c>
      <c r="Q184">
        <v>0.25</v>
      </c>
      <c r="R184">
        <v>279.22</v>
      </c>
      <c r="S184">
        <v>837.66</v>
      </c>
      <c r="T184">
        <v>612.92</v>
      </c>
      <c r="U184">
        <v>224.74</v>
      </c>
      <c r="V184" t="s">
        <v>96</v>
      </c>
      <c r="W184" t="s">
        <v>78</v>
      </c>
      <c r="X184" t="s">
        <v>137</v>
      </c>
      <c r="Y184" t="s">
        <v>107</v>
      </c>
      <c r="Z184">
        <v>12.99</v>
      </c>
      <c r="AA184">
        <v>2</v>
      </c>
      <c r="AB184" t="s">
        <v>164</v>
      </c>
      <c r="AC184" t="s">
        <v>67</v>
      </c>
      <c r="AE184">
        <v>5</v>
      </c>
    </row>
    <row r="185" spans="1:31">
      <c r="A185" t="s">
        <v>827</v>
      </c>
      <c r="B185" t="s">
        <v>828</v>
      </c>
      <c r="C185" t="s">
        <v>188</v>
      </c>
      <c r="D185" t="s">
        <v>110</v>
      </c>
      <c r="E185">
        <v>58</v>
      </c>
      <c r="F185" t="s">
        <v>22</v>
      </c>
      <c r="G185" t="s">
        <v>15</v>
      </c>
      <c r="H185" t="s">
        <v>189</v>
      </c>
      <c r="J185" t="s">
        <v>190</v>
      </c>
      <c r="K185" t="s">
        <v>162</v>
      </c>
      <c r="L185" t="s">
        <v>151</v>
      </c>
      <c r="M185" t="s">
        <v>163</v>
      </c>
      <c r="N185">
        <v>1</v>
      </c>
      <c r="O185">
        <v>37.7</v>
      </c>
      <c r="P185">
        <v>37.7</v>
      </c>
      <c r="Q185">
        <v>0</v>
      </c>
      <c r="R185">
        <v>0</v>
      </c>
      <c r="S185">
        <v>37.7</v>
      </c>
      <c r="T185">
        <v>28.6</v>
      </c>
      <c r="U185">
        <v>9.1</v>
      </c>
      <c r="V185" t="s">
        <v>96</v>
      </c>
      <c r="W185" t="s">
        <v>78</v>
      </c>
      <c r="X185" t="s">
        <v>64</v>
      </c>
      <c r="Y185" t="s">
        <v>107</v>
      </c>
      <c r="Z185">
        <v>12.99</v>
      </c>
      <c r="AA185">
        <v>2</v>
      </c>
      <c r="AB185" t="s">
        <v>247</v>
      </c>
      <c r="AC185" t="s">
        <v>67</v>
      </c>
    </row>
    <row r="186" spans="1:31">
      <c r="A186" t="s">
        <v>829</v>
      </c>
      <c r="B186" t="s">
        <v>830</v>
      </c>
      <c r="C186" t="s">
        <v>831</v>
      </c>
      <c r="D186" t="s">
        <v>71</v>
      </c>
      <c r="E186">
        <v>18</v>
      </c>
      <c r="F186" t="s">
        <v>21</v>
      </c>
      <c r="G186" t="s">
        <v>16</v>
      </c>
      <c r="H186" t="s">
        <v>503</v>
      </c>
      <c r="J186" t="s">
        <v>714</v>
      </c>
      <c r="K186" t="s">
        <v>418</v>
      </c>
      <c r="L186" t="s">
        <v>60</v>
      </c>
      <c r="M186" t="s">
        <v>136</v>
      </c>
      <c r="N186">
        <v>1</v>
      </c>
      <c r="O186">
        <v>214.11</v>
      </c>
      <c r="P186">
        <v>214.11</v>
      </c>
      <c r="Q186">
        <v>0</v>
      </c>
      <c r="R186">
        <v>0</v>
      </c>
      <c r="S186">
        <v>214.11</v>
      </c>
      <c r="T186">
        <v>141.36</v>
      </c>
      <c r="U186">
        <v>72.75</v>
      </c>
      <c r="V186" t="s">
        <v>62</v>
      </c>
      <c r="W186" t="s">
        <v>114</v>
      </c>
      <c r="X186" t="s">
        <v>64</v>
      </c>
      <c r="Y186" t="s">
        <v>65</v>
      </c>
      <c r="Z186">
        <v>0</v>
      </c>
      <c r="AA186">
        <v>4</v>
      </c>
      <c r="AB186" t="s">
        <v>66</v>
      </c>
      <c r="AC186" t="s">
        <v>67</v>
      </c>
      <c r="AE186">
        <v>5</v>
      </c>
    </row>
    <row r="187" spans="1:31">
      <c r="A187" t="s">
        <v>832</v>
      </c>
      <c r="B187" t="s">
        <v>833</v>
      </c>
      <c r="C187" t="s">
        <v>834</v>
      </c>
      <c r="D187" t="s">
        <v>56</v>
      </c>
      <c r="E187">
        <v>27</v>
      </c>
      <c r="F187" t="s">
        <v>22</v>
      </c>
      <c r="G187" t="s">
        <v>16</v>
      </c>
      <c r="H187" t="s">
        <v>300</v>
      </c>
      <c r="J187" t="s">
        <v>835</v>
      </c>
      <c r="K187" t="s">
        <v>836</v>
      </c>
      <c r="L187" t="s">
        <v>60</v>
      </c>
      <c r="M187" t="s">
        <v>490</v>
      </c>
      <c r="N187">
        <v>4</v>
      </c>
      <c r="O187">
        <v>235.92</v>
      </c>
      <c r="P187">
        <v>943.68</v>
      </c>
      <c r="Q187">
        <v>0</v>
      </c>
      <c r="R187">
        <v>0</v>
      </c>
      <c r="S187">
        <v>943.68</v>
      </c>
      <c r="T187">
        <v>647.36</v>
      </c>
      <c r="U187">
        <v>296.32</v>
      </c>
      <c r="V187" t="s">
        <v>96</v>
      </c>
      <c r="W187" t="s">
        <v>114</v>
      </c>
      <c r="X187" t="s">
        <v>64</v>
      </c>
      <c r="Y187" t="s">
        <v>65</v>
      </c>
      <c r="Z187">
        <v>0</v>
      </c>
      <c r="AA187">
        <v>5</v>
      </c>
      <c r="AB187" t="s">
        <v>164</v>
      </c>
      <c r="AC187" t="s">
        <v>271</v>
      </c>
      <c r="AD187" t="s">
        <v>272</v>
      </c>
    </row>
    <row r="188" spans="1:31">
      <c r="A188" t="s">
        <v>837</v>
      </c>
      <c r="B188" t="s">
        <v>838</v>
      </c>
      <c r="C188" t="s">
        <v>839</v>
      </c>
      <c r="D188" t="s">
        <v>92</v>
      </c>
      <c r="E188">
        <v>55</v>
      </c>
      <c r="F188" t="s">
        <v>22</v>
      </c>
      <c r="G188" t="s">
        <v>15</v>
      </c>
      <c r="H188" t="s">
        <v>435</v>
      </c>
      <c r="J188" t="s">
        <v>494</v>
      </c>
      <c r="K188" t="s">
        <v>447</v>
      </c>
      <c r="L188" t="s">
        <v>85</v>
      </c>
      <c r="M188" t="s">
        <v>226</v>
      </c>
      <c r="N188">
        <v>3</v>
      </c>
      <c r="O188">
        <v>599.58</v>
      </c>
      <c r="P188">
        <v>1798.74</v>
      </c>
      <c r="Q188">
        <v>0.1</v>
      </c>
      <c r="R188">
        <v>179.87</v>
      </c>
      <c r="S188">
        <v>1618.87</v>
      </c>
      <c r="T188">
        <v>1348.19</v>
      </c>
      <c r="U188">
        <v>270.68</v>
      </c>
      <c r="V188" t="s">
        <v>62</v>
      </c>
      <c r="W188" t="s">
        <v>78</v>
      </c>
      <c r="X188" t="s">
        <v>115</v>
      </c>
      <c r="Y188" t="s">
        <v>65</v>
      </c>
      <c r="Z188">
        <v>0</v>
      </c>
      <c r="AA188">
        <v>5</v>
      </c>
      <c r="AB188" t="s">
        <v>97</v>
      </c>
      <c r="AC188" t="s">
        <v>67</v>
      </c>
      <c r="AE188">
        <v>4</v>
      </c>
    </row>
    <row r="189" spans="1:31">
      <c r="A189" t="s">
        <v>840</v>
      </c>
      <c r="B189" t="s">
        <v>841</v>
      </c>
      <c r="C189" t="s">
        <v>140</v>
      </c>
      <c r="D189" t="s">
        <v>110</v>
      </c>
      <c r="E189">
        <v>40</v>
      </c>
      <c r="F189" t="s">
        <v>21</v>
      </c>
      <c r="G189" t="s">
        <v>18</v>
      </c>
      <c r="H189" t="s">
        <v>141</v>
      </c>
      <c r="J189" t="s">
        <v>142</v>
      </c>
      <c r="K189" t="s">
        <v>59</v>
      </c>
      <c r="L189" t="s">
        <v>60</v>
      </c>
      <c r="M189" t="s">
        <v>61</v>
      </c>
      <c r="N189">
        <v>1</v>
      </c>
      <c r="O189">
        <v>300.52</v>
      </c>
      <c r="P189">
        <v>300.52</v>
      </c>
      <c r="Q189">
        <v>0.15</v>
      </c>
      <c r="R189">
        <v>45.08</v>
      </c>
      <c r="S189">
        <v>255.44</v>
      </c>
      <c r="T189">
        <v>143.43</v>
      </c>
      <c r="U189">
        <v>112.01</v>
      </c>
      <c r="V189" t="s">
        <v>77</v>
      </c>
      <c r="W189" t="s">
        <v>78</v>
      </c>
      <c r="X189" t="s">
        <v>137</v>
      </c>
      <c r="Y189" t="s">
        <v>65</v>
      </c>
      <c r="Z189">
        <v>0</v>
      </c>
      <c r="AA189">
        <v>4</v>
      </c>
      <c r="AB189" t="s">
        <v>88</v>
      </c>
      <c r="AC189" t="s">
        <v>67</v>
      </c>
      <c r="AE189">
        <v>4</v>
      </c>
    </row>
    <row r="190" spans="1:31">
      <c r="A190" t="s">
        <v>842</v>
      </c>
      <c r="B190" t="s">
        <v>843</v>
      </c>
      <c r="C190" t="s">
        <v>508</v>
      </c>
      <c r="D190" t="s">
        <v>92</v>
      </c>
      <c r="E190">
        <v>48</v>
      </c>
      <c r="F190" t="s">
        <v>21</v>
      </c>
      <c r="G190" t="s">
        <v>16</v>
      </c>
      <c r="H190" t="s">
        <v>250</v>
      </c>
      <c r="J190" t="s">
        <v>509</v>
      </c>
      <c r="K190" t="s">
        <v>246</v>
      </c>
      <c r="L190" t="s">
        <v>60</v>
      </c>
      <c r="M190" t="s">
        <v>170</v>
      </c>
      <c r="N190">
        <v>1</v>
      </c>
      <c r="O190">
        <v>402.44</v>
      </c>
      <c r="P190">
        <v>402.44</v>
      </c>
      <c r="Q190">
        <v>0.1</v>
      </c>
      <c r="R190">
        <v>40.24</v>
      </c>
      <c r="S190">
        <v>362.2</v>
      </c>
      <c r="T190">
        <v>239.05</v>
      </c>
      <c r="U190">
        <v>123.15</v>
      </c>
      <c r="V190" t="s">
        <v>96</v>
      </c>
      <c r="W190" t="s">
        <v>114</v>
      </c>
      <c r="X190" t="s">
        <v>64</v>
      </c>
      <c r="Y190" t="s">
        <v>65</v>
      </c>
      <c r="Z190">
        <v>0</v>
      </c>
      <c r="AA190">
        <v>6</v>
      </c>
      <c r="AB190" t="s">
        <v>164</v>
      </c>
      <c r="AC190" t="s">
        <v>67</v>
      </c>
    </row>
    <row r="191" spans="1:31">
      <c r="A191" t="s">
        <v>844</v>
      </c>
      <c r="B191" t="s">
        <v>845</v>
      </c>
      <c r="C191" t="s">
        <v>846</v>
      </c>
      <c r="D191" t="s">
        <v>92</v>
      </c>
      <c r="E191">
        <v>44</v>
      </c>
      <c r="F191" t="s">
        <v>21</v>
      </c>
      <c r="G191" t="s">
        <v>16</v>
      </c>
      <c r="H191" t="s">
        <v>57</v>
      </c>
      <c r="J191" t="s">
        <v>750</v>
      </c>
      <c r="K191" t="s">
        <v>847</v>
      </c>
      <c r="L191" t="s">
        <v>75</v>
      </c>
      <c r="M191" t="s">
        <v>533</v>
      </c>
      <c r="N191">
        <v>3</v>
      </c>
      <c r="O191">
        <v>12.43</v>
      </c>
      <c r="P191">
        <v>37.29</v>
      </c>
      <c r="Q191">
        <v>0.25</v>
      </c>
      <c r="R191">
        <v>9.32</v>
      </c>
      <c r="S191">
        <v>27.97</v>
      </c>
      <c r="T191">
        <v>19.04</v>
      </c>
      <c r="U191">
        <v>8.93</v>
      </c>
      <c r="V191" t="s">
        <v>304</v>
      </c>
      <c r="W191" t="s">
        <v>114</v>
      </c>
      <c r="X191" t="s">
        <v>64</v>
      </c>
      <c r="Y191" t="s">
        <v>65</v>
      </c>
      <c r="Z191">
        <v>5.99</v>
      </c>
      <c r="AA191">
        <v>5</v>
      </c>
      <c r="AB191" t="s">
        <v>66</v>
      </c>
      <c r="AC191" t="s">
        <v>67</v>
      </c>
    </row>
    <row r="192" spans="1:31">
      <c r="A192" t="s">
        <v>848</v>
      </c>
      <c r="B192" t="s">
        <v>849</v>
      </c>
      <c r="C192" t="s">
        <v>465</v>
      </c>
      <c r="D192" t="s">
        <v>71</v>
      </c>
      <c r="E192">
        <v>54</v>
      </c>
      <c r="F192" t="s">
        <v>21</v>
      </c>
      <c r="G192" t="s">
        <v>15</v>
      </c>
      <c r="H192" t="s">
        <v>93</v>
      </c>
      <c r="J192" t="s">
        <v>93</v>
      </c>
      <c r="K192" t="s">
        <v>94</v>
      </c>
      <c r="L192" t="s">
        <v>85</v>
      </c>
      <c r="M192" t="s">
        <v>95</v>
      </c>
      <c r="N192">
        <v>1</v>
      </c>
      <c r="O192">
        <v>214.16</v>
      </c>
      <c r="P192">
        <v>214.16</v>
      </c>
      <c r="Q192">
        <v>0.05</v>
      </c>
      <c r="R192">
        <v>10.71</v>
      </c>
      <c r="S192">
        <v>203.45</v>
      </c>
      <c r="T192">
        <v>160.6</v>
      </c>
      <c r="U192">
        <v>42.85</v>
      </c>
      <c r="V192" t="s">
        <v>62</v>
      </c>
      <c r="W192" t="s">
        <v>78</v>
      </c>
      <c r="X192" t="s">
        <v>64</v>
      </c>
      <c r="Y192" t="s">
        <v>253</v>
      </c>
      <c r="Z192">
        <v>19.99</v>
      </c>
      <c r="AA192">
        <v>1</v>
      </c>
      <c r="AB192" t="s">
        <v>97</v>
      </c>
      <c r="AC192" t="s">
        <v>67</v>
      </c>
      <c r="AE192">
        <v>5</v>
      </c>
    </row>
    <row r="193" spans="1:31">
      <c r="A193" t="s">
        <v>850</v>
      </c>
      <c r="B193" t="s">
        <v>851</v>
      </c>
      <c r="C193" t="s">
        <v>852</v>
      </c>
      <c r="D193" t="s">
        <v>56</v>
      </c>
      <c r="E193">
        <v>37</v>
      </c>
      <c r="F193" t="s">
        <v>21</v>
      </c>
      <c r="G193" t="s">
        <v>16</v>
      </c>
      <c r="H193" t="s">
        <v>358</v>
      </c>
      <c r="J193" t="s">
        <v>584</v>
      </c>
      <c r="K193" t="s">
        <v>410</v>
      </c>
      <c r="L193" t="s">
        <v>214</v>
      </c>
      <c r="M193" t="s">
        <v>215</v>
      </c>
      <c r="N193">
        <v>2</v>
      </c>
      <c r="O193">
        <v>24.03</v>
      </c>
      <c r="P193">
        <v>48.06</v>
      </c>
      <c r="Q193">
        <v>0.25</v>
      </c>
      <c r="R193">
        <v>12.02</v>
      </c>
      <c r="S193">
        <v>36.04</v>
      </c>
      <c r="T193">
        <v>15.88</v>
      </c>
      <c r="U193">
        <v>20.16</v>
      </c>
      <c r="V193" t="s">
        <v>62</v>
      </c>
      <c r="W193" t="s">
        <v>78</v>
      </c>
      <c r="X193" t="s">
        <v>144</v>
      </c>
      <c r="Y193" t="s">
        <v>107</v>
      </c>
      <c r="Z193">
        <v>12.99</v>
      </c>
      <c r="AA193">
        <v>3</v>
      </c>
      <c r="AB193" t="s">
        <v>66</v>
      </c>
      <c r="AC193" t="s">
        <v>271</v>
      </c>
      <c r="AD193" t="s">
        <v>272</v>
      </c>
    </row>
    <row r="194" spans="1:31">
      <c r="A194" t="s">
        <v>853</v>
      </c>
      <c r="B194" t="s">
        <v>854</v>
      </c>
      <c r="C194" t="s">
        <v>855</v>
      </c>
      <c r="D194" t="s">
        <v>110</v>
      </c>
      <c r="E194">
        <v>40</v>
      </c>
      <c r="F194" t="s">
        <v>22</v>
      </c>
      <c r="G194" t="s">
        <v>17</v>
      </c>
      <c r="H194" t="s">
        <v>101</v>
      </c>
      <c r="J194" t="s">
        <v>417</v>
      </c>
      <c r="K194" t="s">
        <v>162</v>
      </c>
      <c r="L194" t="s">
        <v>151</v>
      </c>
      <c r="M194" t="s">
        <v>163</v>
      </c>
      <c r="N194">
        <v>1</v>
      </c>
      <c r="O194">
        <v>23.64</v>
      </c>
      <c r="P194">
        <v>23.64</v>
      </c>
      <c r="Q194">
        <v>0</v>
      </c>
      <c r="R194">
        <v>0</v>
      </c>
      <c r="S194">
        <v>23.64</v>
      </c>
      <c r="T194">
        <v>16.84</v>
      </c>
      <c r="U194">
        <v>6.8</v>
      </c>
      <c r="V194" t="s">
        <v>62</v>
      </c>
      <c r="W194" t="s">
        <v>78</v>
      </c>
      <c r="X194" t="s">
        <v>64</v>
      </c>
      <c r="Y194" t="s">
        <v>107</v>
      </c>
      <c r="Z194">
        <v>12.99</v>
      </c>
      <c r="AA194">
        <v>2</v>
      </c>
      <c r="AB194" t="s">
        <v>185</v>
      </c>
      <c r="AC194" t="s">
        <v>67</v>
      </c>
      <c r="AE194">
        <v>4</v>
      </c>
    </row>
    <row r="195" spans="1:31">
      <c r="A195" t="s">
        <v>856</v>
      </c>
      <c r="B195" t="s">
        <v>857</v>
      </c>
      <c r="C195" t="s">
        <v>858</v>
      </c>
      <c r="D195" t="s">
        <v>92</v>
      </c>
      <c r="E195">
        <v>48</v>
      </c>
      <c r="F195" t="s">
        <v>22</v>
      </c>
      <c r="G195" t="s">
        <v>19</v>
      </c>
      <c r="H195" t="s">
        <v>124</v>
      </c>
      <c r="I195" t="s">
        <v>859</v>
      </c>
      <c r="J195" t="s">
        <v>824</v>
      </c>
      <c r="K195" t="s">
        <v>746</v>
      </c>
      <c r="L195" t="s">
        <v>196</v>
      </c>
      <c r="M195" t="s">
        <v>205</v>
      </c>
      <c r="N195">
        <v>1</v>
      </c>
      <c r="O195">
        <v>60.03</v>
      </c>
      <c r="P195">
        <v>60.03</v>
      </c>
      <c r="Q195">
        <v>0</v>
      </c>
      <c r="R195">
        <v>0</v>
      </c>
      <c r="S195">
        <v>60.03</v>
      </c>
      <c r="T195">
        <v>32.32</v>
      </c>
      <c r="U195">
        <v>27.71</v>
      </c>
      <c r="V195" t="s">
        <v>62</v>
      </c>
      <c r="W195" t="s">
        <v>78</v>
      </c>
      <c r="X195" t="s">
        <v>115</v>
      </c>
      <c r="Y195" t="s">
        <v>107</v>
      </c>
      <c r="Z195">
        <v>12.99</v>
      </c>
      <c r="AA195">
        <v>2</v>
      </c>
      <c r="AB195" t="s">
        <v>66</v>
      </c>
      <c r="AC195" t="s">
        <v>67</v>
      </c>
    </row>
    <row r="196" spans="1:31">
      <c r="A196" t="s">
        <v>860</v>
      </c>
      <c r="B196" t="s">
        <v>861</v>
      </c>
      <c r="C196" t="s">
        <v>862</v>
      </c>
      <c r="D196" t="s">
        <v>110</v>
      </c>
      <c r="E196">
        <v>44</v>
      </c>
      <c r="F196" t="s">
        <v>22</v>
      </c>
      <c r="G196" t="s">
        <v>19</v>
      </c>
      <c r="H196" t="s">
        <v>148</v>
      </c>
      <c r="J196" t="s">
        <v>265</v>
      </c>
      <c r="K196" t="s">
        <v>847</v>
      </c>
      <c r="L196" t="s">
        <v>75</v>
      </c>
      <c r="M196" t="s">
        <v>533</v>
      </c>
      <c r="N196">
        <v>1</v>
      </c>
      <c r="O196">
        <v>10.3</v>
      </c>
      <c r="P196">
        <v>10.3</v>
      </c>
      <c r="Q196">
        <v>0</v>
      </c>
      <c r="R196">
        <v>0</v>
      </c>
      <c r="S196">
        <v>10.3</v>
      </c>
      <c r="T196">
        <v>6.65</v>
      </c>
      <c r="U196">
        <v>3.65</v>
      </c>
      <c r="V196" t="s">
        <v>77</v>
      </c>
      <c r="W196" t="s">
        <v>78</v>
      </c>
      <c r="X196" t="s">
        <v>137</v>
      </c>
      <c r="Y196" t="s">
        <v>107</v>
      </c>
      <c r="Z196">
        <v>12.99</v>
      </c>
      <c r="AA196">
        <v>2</v>
      </c>
      <c r="AB196" t="s">
        <v>97</v>
      </c>
      <c r="AC196" t="s">
        <v>67</v>
      </c>
      <c r="AE196">
        <v>5</v>
      </c>
    </row>
    <row r="197" spans="1:31">
      <c r="A197" t="s">
        <v>863</v>
      </c>
      <c r="B197" t="s">
        <v>864</v>
      </c>
      <c r="C197" t="s">
        <v>729</v>
      </c>
      <c r="D197" t="s">
        <v>110</v>
      </c>
      <c r="E197">
        <v>18</v>
      </c>
      <c r="F197" t="s">
        <v>23</v>
      </c>
      <c r="G197" t="s">
        <v>19</v>
      </c>
      <c r="H197" t="s">
        <v>82</v>
      </c>
      <c r="J197" t="s">
        <v>229</v>
      </c>
      <c r="K197" t="s">
        <v>865</v>
      </c>
      <c r="L197" t="s">
        <v>85</v>
      </c>
      <c r="M197" t="s">
        <v>226</v>
      </c>
      <c r="N197">
        <v>1</v>
      </c>
      <c r="O197">
        <v>121.46</v>
      </c>
      <c r="P197">
        <v>121.46</v>
      </c>
      <c r="Q197">
        <v>0.05</v>
      </c>
      <c r="R197">
        <v>6.07</v>
      </c>
      <c r="S197">
        <v>115.39</v>
      </c>
      <c r="T197">
        <v>97.92</v>
      </c>
      <c r="U197">
        <v>17.47</v>
      </c>
      <c r="V197" t="s">
        <v>62</v>
      </c>
      <c r="W197" t="s">
        <v>114</v>
      </c>
      <c r="X197" t="s">
        <v>64</v>
      </c>
      <c r="Y197" t="s">
        <v>65</v>
      </c>
      <c r="Z197">
        <v>0</v>
      </c>
      <c r="AA197">
        <v>5</v>
      </c>
      <c r="AB197" t="s">
        <v>88</v>
      </c>
      <c r="AC197" t="s">
        <v>67</v>
      </c>
    </row>
    <row r="198" spans="1:31">
      <c r="A198" t="s">
        <v>866</v>
      </c>
      <c r="B198" t="s">
        <v>867</v>
      </c>
      <c r="C198" t="s">
        <v>440</v>
      </c>
      <c r="D198" t="s">
        <v>110</v>
      </c>
      <c r="E198">
        <v>44</v>
      </c>
      <c r="F198" t="s">
        <v>22</v>
      </c>
      <c r="G198" t="s">
        <v>19</v>
      </c>
      <c r="H198" t="s">
        <v>82</v>
      </c>
      <c r="J198" t="s">
        <v>83</v>
      </c>
      <c r="K198" t="s">
        <v>540</v>
      </c>
      <c r="L198" t="s">
        <v>85</v>
      </c>
      <c r="M198" t="s">
        <v>541</v>
      </c>
      <c r="N198">
        <v>3</v>
      </c>
      <c r="O198">
        <v>82.98</v>
      </c>
      <c r="P198">
        <v>248.94</v>
      </c>
      <c r="Q198">
        <v>0.1</v>
      </c>
      <c r="R198">
        <v>24.89</v>
      </c>
      <c r="S198">
        <v>224.05</v>
      </c>
      <c r="T198">
        <v>182.24</v>
      </c>
      <c r="U198">
        <v>41.81</v>
      </c>
      <c r="V198" t="s">
        <v>304</v>
      </c>
      <c r="W198" t="s">
        <v>114</v>
      </c>
      <c r="X198" t="s">
        <v>115</v>
      </c>
      <c r="Y198" t="s">
        <v>253</v>
      </c>
      <c r="Z198">
        <v>19.99</v>
      </c>
      <c r="AA198">
        <v>1</v>
      </c>
      <c r="AB198" t="s">
        <v>97</v>
      </c>
      <c r="AC198" t="s">
        <v>67</v>
      </c>
      <c r="AE198">
        <v>5</v>
      </c>
    </row>
    <row r="199" spans="1:31">
      <c r="A199" t="s">
        <v>868</v>
      </c>
      <c r="B199" t="s">
        <v>869</v>
      </c>
      <c r="C199" t="s">
        <v>858</v>
      </c>
      <c r="D199" t="s">
        <v>110</v>
      </c>
      <c r="E199">
        <v>48</v>
      </c>
      <c r="F199" t="s">
        <v>22</v>
      </c>
      <c r="G199" t="s">
        <v>19</v>
      </c>
      <c r="H199" t="s">
        <v>124</v>
      </c>
      <c r="I199" t="s">
        <v>859</v>
      </c>
      <c r="J199" t="s">
        <v>824</v>
      </c>
      <c r="K199" t="s">
        <v>870</v>
      </c>
      <c r="L199" t="s">
        <v>196</v>
      </c>
      <c r="M199" t="s">
        <v>205</v>
      </c>
      <c r="N199">
        <v>1</v>
      </c>
      <c r="O199">
        <v>74.67</v>
      </c>
      <c r="P199">
        <v>74.67</v>
      </c>
      <c r="Q199">
        <v>0.2</v>
      </c>
      <c r="R199">
        <v>14.93</v>
      </c>
      <c r="S199">
        <v>59.74</v>
      </c>
      <c r="T199">
        <v>32.06</v>
      </c>
      <c r="U199">
        <v>27.68</v>
      </c>
      <c r="V199" t="s">
        <v>62</v>
      </c>
      <c r="W199" t="s">
        <v>114</v>
      </c>
      <c r="X199" t="s">
        <v>129</v>
      </c>
      <c r="Y199" t="s">
        <v>65</v>
      </c>
      <c r="Z199">
        <v>5.99</v>
      </c>
      <c r="AA199">
        <v>6</v>
      </c>
      <c r="AB199" t="s">
        <v>164</v>
      </c>
      <c r="AC199" t="s">
        <v>67</v>
      </c>
      <c r="AE199">
        <v>5</v>
      </c>
    </row>
    <row r="200" spans="1:31">
      <c r="A200" t="s">
        <v>871</v>
      </c>
      <c r="B200" t="s">
        <v>869</v>
      </c>
      <c r="C200" t="s">
        <v>256</v>
      </c>
      <c r="D200" t="s">
        <v>110</v>
      </c>
      <c r="E200">
        <v>26</v>
      </c>
      <c r="F200" t="s">
        <v>21</v>
      </c>
      <c r="G200" t="s">
        <v>19</v>
      </c>
      <c r="H200" t="s">
        <v>124</v>
      </c>
      <c r="I200" t="s">
        <v>257</v>
      </c>
      <c r="J200" t="s">
        <v>126</v>
      </c>
      <c r="K200" t="s">
        <v>754</v>
      </c>
      <c r="L200" t="s">
        <v>151</v>
      </c>
      <c r="M200" t="s">
        <v>163</v>
      </c>
      <c r="N200">
        <v>1</v>
      </c>
      <c r="O200">
        <v>24.62</v>
      </c>
      <c r="P200">
        <v>24.62</v>
      </c>
      <c r="Q200">
        <v>0.15</v>
      </c>
      <c r="R200">
        <v>3.69</v>
      </c>
      <c r="S200">
        <v>20.93</v>
      </c>
      <c r="T200">
        <v>13.69</v>
      </c>
      <c r="U200">
        <v>7.24</v>
      </c>
      <c r="V200" t="s">
        <v>62</v>
      </c>
      <c r="W200" t="s">
        <v>78</v>
      </c>
      <c r="X200" t="s">
        <v>137</v>
      </c>
      <c r="Y200" t="s">
        <v>65</v>
      </c>
      <c r="Z200">
        <v>5.99</v>
      </c>
      <c r="AA200">
        <v>4</v>
      </c>
      <c r="AB200" t="s">
        <v>185</v>
      </c>
      <c r="AC200" t="s">
        <v>67</v>
      </c>
      <c r="AE200">
        <v>2</v>
      </c>
    </row>
    <row r="201" spans="1:31">
      <c r="A201" t="s">
        <v>872</v>
      </c>
      <c r="B201" t="s">
        <v>873</v>
      </c>
      <c r="C201" t="s">
        <v>874</v>
      </c>
      <c r="D201" t="s">
        <v>92</v>
      </c>
      <c r="E201">
        <v>26</v>
      </c>
      <c r="F201" t="s">
        <v>21</v>
      </c>
      <c r="G201" t="s">
        <v>16</v>
      </c>
      <c r="H201" t="s">
        <v>119</v>
      </c>
      <c r="J201" t="s">
        <v>120</v>
      </c>
      <c r="K201" t="s">
        <v>875</v>
      </c>
      <c r="L201" t="s">
        <v>177</v>
      </c>
      <c r="M201" t="s">
        <v>262</v>
      </c>
      <c r="N201">
        <v>1</v>
      </c>
      <c r="O201">
        <v>203.54</v>
      </c>
      <c r="P201">
        <v>203.54</v>
      </c>
      <c r="Q201">
        <v>0.2</v>
      </c>
      <c r="R201">
        <v>40.71</v>
      </c>
      <c r="S201">
        <v>162.83</v>
      </c>
      <c r="T201">
        <v>103.76</v>
      </c>
      <c r="U201">
        <v>59.07</v>
      </c>
      <c r="V201" t="s">
        <v>77</v>
      </c>
      <c r="W201" t="s">
        <v>78</v>
      </c>
      <c r="X201" t="s">
        <v>106</v>
      </c>
      <c r="Y201" t="s">
        <v>107</v>
      </c>
      <c r="Z201">
        <v>12.99</v>
      </c>
      <c r="AA201">
        <v>2</v>
      </c>
      <c r="AB201" t="s">
        <v>97</v>
      </c>
      <c r="AC201" t="s">
        <v>67</v>
      </c>
      <c r="AE201">
        <v>5</v>
      </c>
    </row>
    <row r="202" spans="1:31">
      <c r="A202" t="s">
        <v>876</v>
      </c>
      <c r="B202" t="s">
        <v>877</v>
      </c>
      <c r="C202" t="s">
        <v>878</v>
      </c>
      <c r="D202" t="s">
        <v>92</v>
      </c>
      <c r="E202">
        <v>32</v>
      </c>
      <c r="F202" t="s">
        <v>21</v>
      </c>
      <c r="G202" t="s">
        <v>19</v>
      </c>
      <c r="H202" t="s">
        <v>82</v>
      </c>
      <c r="J202" t="s">
        <v>229</v>
      </c>
      <c r="K202" t="s">
        <v>340</v>
      </c>
      <c r="L202" t="s">
        <v>196</v>
      </c>
      <c r="M202" t="s">
        <v>341</v>
      </c>
      <c r="N202">
        <v>5</v>
      </c>
      <c r="O202">
        <v>21.2</v>
      </c>
      <c r="P202">
        <v>106</v>
      </c>
      <c r="Q202">
        <v>0.15</v>
      </c>
      <c r="R202">
        <v>15.9</v>
      </c>
      <c r="S202">
        <v>90.1</v>
      </c>
      <c r="T202">
        <v>49.56</v>
      </c>
      <c r="U202">
        <v>40.54</v>
      </c>
      <c r="V202" t="s">
        <v>62</v>
      </c>
      <c r="W202" t="s">
        <v>114</v>
      </c>
      <c r="X202" t="s">
        <v>64</v>
      </c>
      <c r="Y202" t="s">
        <v>65</v>
      </c>
      <c r="Z202">
        <v>0</v>
      </c>
      <c r="AA202">
        <v>6</v>
      </c>
      <c r="AB202" t="s">
        <v>192</v>
      </c>
      <c r="AC202" t="s">
        <v>67</v>
      </c>
      <c r="AE202">
        <v>5</v>
      </c>
    </row>
    <row r="203" spans="1:31">
      <c r="A203" t="s">
        <v>879</v>
      </c>
      <c r="B203" t="s">
        <v>880</v>
      </c>
      <c r="C203" t="s">
        <v>589</v>
      </c>
      <c r="D203" t="s">
        <v>92</v>
      </c>
      <c r="E203">
        <v>36</v>
      </c>
      <c r="F203" t="s">
        <v>22</v>
      </c>
      <c r="G203" t="s">
        <v>19</v>
      </c>
      <c r="H203" t="s">
        <v>82</v>
      </c>
      <c r="J203" t="s">
        <v>229</v>
      </c>
      <c r="K203" t="s">
        <v>881</v>
      </c>
      <c r="L203" t="s">
        <v>75</v>
      </c>
      <c r="M203" t="s">
        <v>638</v>
      </c>
      <c r="N203">
        <v>1</v>
      </c>
      <c r="O203">
        <v>14.23</v>
      </c>
      <c r="P203">
        <v>14.23</v>
      </c>
      <c r="Q203">
        <v>0</v>
      </c>
      <c r="R203">
        <v>0</v>
      </c>
      <c r="S203">
        <v>14.23</v>
      </c>
      <c r="T203">
        <v>10.15</v>
      </c>
      <c r="U203">
        <v>4.08</v>
      </c>
      <c r="V203" t="s">
        <v>62</v>
      </c>
      <c r="W203" t="s">
        <v>78</v>
      </c>
      <c r="X203" t="s">
        <v>64</v>
      </c>
      <c r="Y203" t="s">
        <v>107</v>
      </c>
      <c r="Z203">
        <v>12.99</v>
      </c>
      <c r="AA203">
        <v>3</v>
      </c>
      <c r="AB203" t="s">
        <v>247</v>
      </c>
      <c r="AC203" t="s">
        <v>67</v>
      </c>
    </row>
    <row r="204" spans="1:31">
      <c r="A204" t="s">
        <v>882</v>
      </c>
      <c r="B204" t="s">
        <v>880</v>
      </c>
      <c r="C204" t="s">
        <v>883</v>
      </c>
      <c r="D204" t="s">
        <v>56</v>
      </c>
      <c r="E204">
        <v>18</v>
      </c>
      <c r="F204" t="s">
        <v>22</v>
      </c>
      <c r="G204" t="s">
        <v>19</v>
      </c>
      <c r="H204" t="s">
        <v>148</v>
      </c>
      <c r="J204" t="s">
        <v>149</v>
      </c>
      <c r="K204" t="s">
        <v>505</v>
      </c>
      <c r="L204" t="s">
        <v>104</v>
      </c>
      <c r="M204" t="s">
        <v>361</v>
      </c>
      <c r="N204">
        <v>1</v>
      </c>
      <c r="O204">
        <v>179.3</v>
      </c>
      <c r="P204">
        <v>179.3</v>
      </c>
      <c r="Q204">
        <v>0.05</v>
      </c>
      <c r="R204">
        <v>8.97</v>
      </c>
      <c r="S204">
        <v>170.33</v>
      </c>
      <c r="T204">
        <v>117.08</v>
      </c>
      <c r="U204">
        <v>53.25</v>
      </c>
      <c r="V204" t="s">
        <v>221</v>
      </c>
      <c r="W204" t="s">
        <v>114</v>
      </c>
      <c r="X204" t="s">
        <v>106</v>
      </c>
      <c r="Y204" t="s">
        <v>107</v>
      </c>
      <c r="Z204">
        <v>12.99</v>
      </c>
      <c r="AA204">
        <v>2</v>
      </c>
      <c r="AB204" t="s">
        <v>281</v>
      </c>
      <c r="AC204" t="s">
        <v>67</v>
      </c>
      <c r="AE204">
        <v>5</v>
      </c>
    </row>
    <row r="205" spans="1:31">
      <c r="A205" t="s">
        <v>884</v>
      </c>
      <c r="B205" t="s">
        <v>885</v>
      </c>
      <c r="C205" t="s">
        <v>777</v>
      </c>
      <c r="D205" t="s">
        <v>92</v>
      </c>
      <c r="E205">
        <v>30</v>
      </c>
      <c r="F205" t="s">
        <v>21</v>
      </c>
      <c r="G205" t="s">
        <v>16</v>
      </c>
      <c r="H205" t="s">
        <v>472</v>
      </c>
      <c r="J205" t="s">
        <v>778</v>
      </c>
      <c r="K205" t="s">
        <v>886</v>
      </c>
      <c r="L205" t="s">
        <v>85</v>
      </c>
      <c r="M205" t="s">
        <v>541</v>
      </c>
      <c r="N205">
        <v>1</v>
      </c>
      <c r="O205">
        <v>270.33</v>
      </c>
      <c r="P205">
        <v>270.33</v>
      </c>
      <c r="Q205">
        <v>0.05</v>
      </c>
      <c r="R205">
        <v>13.52</v>
      </c>
      <c r="S205">
        <v>256.81</v>
      </c>
      <c r="T205">
        <v>222.42</v>
      </c>
      <c r="U205">
        <v>34.39</v>
      </c>
      <c r="V205" t="s">
        <v>96</v>
      </c>
      <c r="W205" t="s">
        <v>78</v>
      </c>
      <c r="X205" t="s">
        <v>87</v>
      </c>
      <c r="Y205" t="s">
        <v>305</v>
      </c>
      <c r="Z205">
        <v>0</v>
      </c>
      <c r="AA205">
        <v>7</v>
      </c>
      <c r="AB205" t="s">
        <v>66</v>
      </c>
      <c r="AC205" t="s">
        <v>67</v>
      </c>
      <c r="AE205">
        <v>5</v>
      </c>
    </row>
    <row r="206" spans="1:31">
      <c r="A206" t="s">
        <v>887</v>
      </c>
      <c r="B206" t="s">
        <v>888</v>
      </c>
      <c r="C206" t="s">
        <v>889</v>
      </c>
      <c r="D206" t="s">
        <v>92</v>
      </c>
      <c r="E206">
        <v>28</v>
      </c>
      <c r="F206" t="s">
        <v>21</v>
      </c>
      <c r="G206" t="s">
        <v>19</v>
      </c>
      <c r="H206" t="s">
        <v>124</v>
      </c>
      <c r="I206" t="s">
        <v>697</v>
      </c>
      <c r="J206" t="s">
        <v>126</v>
      </c>
      <c r="K206" t="s">
        <v>225</v>
      </c>
      <c r="L206" t="s">
        <v>85</v>
      </c>
      <c r="M206" t="s">
        <v>226</v>
      </c>
      <c r="N206">
        <v>1</v>
      </c>
      <c r="O206">
        <v>426.83</v>
      </c>
      <c r="P206">
        <v>426.83</v>
      </c>
      <c r="Q206">
        <v>0.1</v>
      </c>
      <c r="R206">
        <v>42.68</v>
      </c>
      <c r="S206">
        <v>384.15</v>
      </c>
      <c r="T206">
        <v>278.62</v>
      </c>
      <c r="U206">
        <v>105.53</v>
      </c>
      <c r="V206" t="s">
        <v>62</v>
      </c>
      <c r="W206" t="s">
        <v>114</v>
      </c>
      <c r="X206" t="s">
        <v>64</v>
      </c>
      <c r="Y206" t="s">
        <v>65</v>
      </c>
      <c r="Z206">
        <v>0</v>
      </c>
      <c r="AA206">
        <v>4</v>
      </c>
      <c r="AB206" t="s">
        <v>88</v>
      </c>
      <c r="AC206" t="s">
        <v>67</v>
      </c>
      <c r="AE206">
        <v>5</v>
      </c>
    </row>
    <row r="207" spans="1:31">
      <c r="A207" t="s">
        <v>890</v>
      </c>
      <c r="B207" t="s">
        <v>891</v>
      </c>
      <c r="C207" t="s">
        <v>892</v>
      </c>
      <c r="D207" t="s">
        <v>92</v>
      </c>
      <c r="E207">
        <v>62</v>
      </c>
      <c r="F207" t="s">
        <v>21</v>
      </c>
      <c r="G207" t="s">
        <v>19</v>
      </c>
      <c r="H207" t="s">
        <v>148</v>
      </c>
      <c r="J207" t="s">
        <v>182</v>
      </c>
      <c r="K207" t="s">
        <v>886</v>
      </c>
      <c r="L207" t="s">
        <v>85</v>
      </c>
      <c r="M207" t="s">
        <v>541</v>
      </c>
      <c r="N207">
        <v>1</v>
      </c>
      <c r="O207">
        <v>993.61</v>
      </c>
      <c r="P207">
        <v>993.61</v>
      </c>
      <c r="Q207">
        <v>0</v>
      </c>
      <c r="R207">
        <v>0</v>
      </c>
      <c r="S207">
        <v>993.61</v>
      </c>
      <c r="T207">
        <v>849.93</v>
      </c>
      <c r="U207">
        <v>143.68</v>
      </c>
      <c r="V207" t="s">
        <v>77</v>
      </c>
      <c r="W207" t="s">
        <v>78</v>
      </c>
      <c r="X207" t="s">
        <v>106</v>
      </c>
      <c r="Y207" t="s">
        <v>65</v>
      </c>
      <c r="Z207">
        <v>0</v>
      </c>
      <c r="AA207">
        <v>4</v>
      </c>
      <c r="AB207" t="s">
        <v>88</v>
      </c>
      <c r="AC207" t="s">
        <v>271</v>
      </c>
      <c r="AD207" t="s">
        <v>272</v>
      </c>
    </row>
    <row r="208" spans="1:31">
      <c r="A208" t="s">
        <v>893</v>
      </c>
      <c r="B208" t="s">
        <v>894</v>
      </c>
      <c r="C208" t="s">
        <v>583</v>
      </c>
      <c r="D208" t="s">
        <v>71</v>
      </c>
      <c r="E208">
        <v>57</v>
      </c>
      <c r="F208" t="s">
        <v>21</v>
      </c>
      <c r="G208" t="s">
        <v>16</v>
      </c>
      <c r="H208" t="s">
        <v>358</v>
      </c>
      <c r="J208" t="s">
        <v>584</v>
      </c>
      <c r="K208" t="s">
        <v>418</v>
      </c>
      <c r="L208" t="s">
        <v>60</v>
      </c>
      <c r="M208" t="s">
        <v>136</v>
      </c>
      <c r="N208">
        <v>1</v>
      </c>
      <c r="O208">
        <v>803.09</v>
      </c>
      <c r="P208">
        <v>803.09</v>
      </c>
      <c r="Q208">
        <v>0.25</v>
      </c>
      <c r="R208">
        <v>200.77</v>
      </c>
      <c r="S208">
        <v>602.32</v>
      </c>
      <c r="T208">
        <v>330.79</v>
      </c>
      <c r="U208">
        <v>271.53</v>
      </c>
      <c r="V208" t="s">
        <v>221</v>
      </c>
      <c r="W208" t="s">
        <v>114</v>
      </c>
      <c r="X208" t="s">
        <v>64</v>
      </c>
      <c r="Y208" t="s">
        <v>65</v>
      </c>
      <c r="Z208">
        <v>0</v>
      </c>
      <c r="AA208">
        <v>7</v>
      </c>
      <c r="AB208" t="s">
        <v>164</v>
      </c>
      <c r="AC208" t="s">
        <v>67</v>
      </c>
    </row>
    <row r="209" spans="1:31">
      <c r="A209" t="s">
        <v>895</v>
      </c>
      <c r="B209" t="s">
        <v>896</v>
      </c>
      <c r="C209" t="s">
        <v>897</v>
      </c>
      <c r="D209" t="s">
        <v>92</v>
      </c>
      <c r="E209">
        <v>42</v>
      </c>
      <c r="F209" t="s">
        <v>21</v>
      </c>
      <c r="G209" t="s">
        <v>19</v>
      </c>
      <c r="H209" t="s">
        <v>124</v>
      </c>
      <c r="I209" t="s">
        <v>462</v>
      </c>
      <c r="J209" t="s">
        <v>390</v>
      </c>
      <c r="K209" t="s">
        <v>94</v>
      </c>
      <c r="L209" t="s">
        <v>85</v>
      </c>
      <c r="M209" t="s">
        <v>95</v>
      </c>
      <c r="N209">
        <v>1</v>
      </c>
      <c r="O209">
        <v>162.33</v>
      </c>
      <c r="P209">
        <v>162.33</v>
      </c>
      <c r="Q209">
        <v>0.2</v>
      </c>
      <c r="R209">
        <v>32.47</v>
      </c>
      <c r="S209">
        <v>129.86</v>
      </c>
      <c r="T209">
        <v>103.77</v>
      </c>
      <c r="U209">
        <v>26.09</v>
      </c>
      <c r="V209" t="s">
        <v>96</v>
      </c>
      <c r="W209" t="s">
        <v>114</v>
      </c>
      <c r="X209" t="s">
        <v>87</v>
      </c>
      <c r="Y209" t="s">
        <v>107</v>
      </c>
      <c r="Z209">
        <v>12.99</v>
      </c>
      <c r="AA209">
        <v>2</v>
      </c>
      <c r="AB209" t="s">
        <v>192</v>
      </c>
      <c r="AC209" t="s">
        <v>67</v>
      </c>
    </row>
    <row r="210" spans="1:31">
      <c r="A210" t="s">
        <v>898</v>
      </c>
      <c r="B210" t="s">
        <v>899</v>
      </c>
      <c r="C210" t="s">
        <v>603</v>
      </c>
      <c r="D210" t="s">
        <v>110</v>
      </c>
      <c r="E210">
        <v>31</v>
      </c>
      <c r="F210" t="s">
        <v>21</v>
      </c>
      <c r="G210" t="s">
        <v>17</v>
      </c>
      <c r="H210" t="s">
        <v>160</v>
      </c>
      <c r="J210" t="s">
        <v>161</v>
      </c>
      <c r="K210" t="s">
        <v>900</v>
      </c>
      <c r="L210" t="s">
        <v>104</v>
      </c>
      <c r="M210" t="s">
        <v>376</v>
      </c>
      <c r="N210">
        <v>2</v>
      </c>
      <c r="O210">
        <v>179.64</v>
      </c>
      <c r="P210">
        <v>359.28</v>
      </c>
      <c r="Q210">
        <v>0</v>
      </c>
      <c r="R210">
        <v>0</v>
      </c>
      <c r="S210">
        <v>359.28</v>
      </c>
      <c r="T210">
        <v>222.25</v>
      </c>
      <c r="U210">
        <v>137.03</v>
      </c>
      <c r="V210" t="s">
        <v>221</v>
      </c>
      <c r="W210" t="s">
        <v>78</v>
      </c>
      <c r="X210" t="s">
        <v>64</v>
      </c>
      <c r="Y210" t="s">
        <v>307</v>
      </c>
      <c r="Z210">
        <v>24.99</v>
      </c>
      <c r="AA210">
        <v>0</v>
      </c>
      <c r="AB210" t="s">
        <v>97</v>
      </c>
      <c r="AC210" t="s">
        <v>67</v>
      </c>
      <c r="AE210">
        <v>4</v>
      </c>
    </row>
    <row r="211" spans="1:31">
      <c r="A211" t="s">
        <v>901</v>
      </c>
      <c r="B211" t="s">
        <v>902</v>
      </c>
      <c r="C211" t="s">
        <v>903</v>
      </c>
      <c r="D211" t="s">
        <v>92</v>
      </c>
      <c r="E211">
        <v>41</v>
      </c>
      <c r="F211" t="s">
        <v>22</v>
      </c>
      <c r="G211" t="s">
        <v>16</v>
      </c>
      <c r="H211" t="s">
        <v>57</v>
      </c>
      <c r="J211" t="s">
        <v>58</v>
      </c>
      <c r="K211" t="s">
        <v>402</v>
      </c>
      <c r="L211" t="s">
        <v>75</v>
      </c>
      <c r="M211" t="s">
        <v>370</v>
      </c>
      <c r="N211">
        <v>2</v>
      </c>
      <c r="O211">
        <v>8.97</v>
      </c>
      <c r="P211">
        <v>17.94</v>
      </c>
      <c r="Q211">
        <v>0.05</v>
      </c>
      <c r="R211">
        <v>0.9</v>
      </c>
      <c r="S211">
        <v>17.04</v>
      </c>
      <c r="T211">
        <v>12.21</v>
      </c>
      <c r="U211">
        <v>4.83</v>
      </c>
      <c r="V211" t="s">
        <v>96</v>
      </c>
      <c r="W211" t="s">
        <v>114</v>
      </c>
      <c r="X211" t="s">
        <v>64</v>
      </c>
      <c r="Y211" t="s">
        <v>305</v>
      </c>
      <c r="Z211">
        <v>2.99</v>
      </c>
      <c r="AA211">
        <v>9</v>
      </c>
      <c r="AB211" t="s">
        <v>66</v>
      </c>
      <c r="AC211" t="s">
        <v>67</v>
      </c>
      <c r="AE211">
        <v>5</v>
      </c>
    </row>
    <row r="212" spans="1:31">
      <c r="A212" t="s">
        <v>904</v>
      </c>
      <c r="B212" t="s">
        <v>905</v>
      </c>
      <c r="C212" t="s">
        <v>906</v>
      </c>
      <c r="D212" t="s">
        <v>110</v>
      </c>
      <c r="E212">
        <v>31</v>
      </c>
      <c r="F212" t="s">
        <v>23</v>
      </c>
      <c r="G212" t="s">
        <v>19</v>
      </c>
      <c r="H212" t="s">
        <v>148</v>
      </c>
      <c r="J212" t="s">
        <v>149</v>
      </c>
      <c r="K212" t="s">
        <v>576</v>
      </c>
      <c r="L212" t="s">
        <v>196</v>
      </c>
      <c r="M212" t="s">
        <v>242</v>
      </c>
      <c r="N212">
        <v>2</v>
      </c>
      <c r="O212">
        <v>16.72</v>
      </c>
      <c r="P212">
        <v>33.44</v>
      </c>
      <c r="Q212">
        <v>0.05</v>
      </c>
      <c r="R212">
        <v>1.67</v>
      </c>
      <c r="S212">
        <v>31.77</v>
      </c>
      <c r="T212">
        <v>13.68</v>
      </c>
      <c r="U212">
        <v>18.09</v>
      </c>
      <c r="V212" t="s">
        <v>304</v>
      </c>
      <c r="W212" t="s">
        <v>114</v>
      </c>
      <c r="X212" t="s">
        <v>64</v>
      </c>
      <c r="Y212" t="s">
        <v>107</v>
      </c>
      <c r="Z212">
        <v>12.99</v>
      </c>
      <c r="AA212">
        <v>2</v>
      </c>
      <c r="AB212" t="s">
        <v>192</v>
      </c>
      <c r="AC212" t="s">
        <v>67</v>
      </c>
    </row>
    <row r="213" spans="1:31">
      <c r="A213" t="s">
        <v>907</v>
      </c>
      <c r="B213" t="s">
        <v>908</v>
      </c>
      <c r="C213" t="s">
        <v>909</v>
      </c>
      <c r="D213" t="s">
        <v>92</v>
      </c>
      <c r="E213">
        <v>28</v>
      </c>
      <c r="F213" t="s">
        <v>21</v>
      </c>
      <c r="G213" t="s">
        <v>16</v>
      </c>
      <c r="H213" t="s">
        <v>57</v>
      </c>
      <c r="J213" t="s">
        <v>910</v>
      </c>
      <c r="K213" t="s">
        <v>230</v>
      </c>
      <c r="L213" t="s">
        <v>214</v>
      </c>
      <c r="M213" t="s">
        <v>231</v>
      </c>
      <c r="N213">
        <v>2</v>
      </c>
      <c r="O213">
        <v>78.34</v>
      </c>
      <c r="P213">
        <v>156.68</v>
      </c>
      <c r="Q213">
        <v>0.2</v>
      </c>
      <c r="R213">
        <v>31.34</v>
      </c>
      <c r="S213">
        <v>125.34</v>
      </c>
      <c r="T213">
        <v>49.08</v>
      </c>
      <c r="U213">
        <v>76.26</v>
      </c>
      <c r="V213" t="s">
        <v>96</v>
      </c>
      <c r="W213" t="s">
        <v>114</v>
      </c>
      <c r="X213" t="s">
        <v>137</v>
      </c>
      <c r="Y213" t="s">
        <v>65</v>
      </c>
      <c r="Z213">
        <v>0</v>
      </c>
      <c r="AA213">
        <v>5</v>
      </c>
      <c r="AB213" t="s">
        <v>97</v>
      </c>
      <c r="AC213" t="s">
        <v>67</v>
      </c>
      <c r="AE213">
        <v>5</v>
      </c>
    </row>
    <row r="214" spans="1:31">
      <c r="A214" t="s">
        <v>911</v>
      </c>
      <c r="B214" t="s">
        <v>912</v>
      </c>
      <c r="C214" t="s">
        <v>727</v>
      </c>
      <c r="D214" t="s">
        <v>110</v>
      </c>
      <c r="E214">
        <v>26</v>
      </c>
      <c r="F214" t="s">
        <v>21</v>
      </c>
      <c r="G214" t="s">
        <v>15</v>
      </c>
      <c r="H214" t="s">
        <v>435</v>
      </c>
      <c r="J214" t="s">
        <v>494</v>
      </c>
      <c r="K214" t="s">
        <v>236</v>
      </c>
      <c r="L214" t="s">
        <v>85</v>
      </c>
      <c r="M214" t="s">
        <v>113</v>
      </c>
      <c r="N214">
        <v>1</v>
      </c>
      <c r="O214">
        <v>1118.65</v>
      </c>
      <c r="P214">
        <v>1118.65</v>
      </c>
      <c r="Q214">
        <v>0.25</v>
      </c>
      <c r="R214">
        <v>279.66</v>
      </c>
      <c r="S214">
        <v>838.99</v>
      </c>
      <c r="T214">
        <v>714.82</v>
      </c>
      <c r="U214">
        <v>124.17</v>
      </c>
      <c r="V214" t="s">
        <v>96</v>
      </c>
      <c r="W214" t="s">
        <v>114</v>
      </c>
      <c r="X214" t="s">
        <v>64</v>
      </c>
      <c r="Y214" t="s">
        <v>65</v>
      </c>
      <c r="Z214">
        <v>0</v>
      </c>
      <c r="AA214">
        <v>6</v>
      </c>
      <c r="AB214" t="s">
        <v>164</v>
      </c>
      <c r="AC214" t="s">
        <v>67</v>
      </c>
      <c r="AE214">
        <v>5</v>
      </c>
    </row>
    <row r="215" spans="1:31">
      <c r="A215" t="s">
        <v>913</v>
      </c>
      <c r="B215" t="s">
        <v>914</v>
      </c>
      <c r="C215" t="s">
        <v>915</v>
      </c>
      <c r="D215" t="s">
        <v>92</v>
      </c>
      <c r="E215">
        <v>48</v>
      </c>
      <c r="F215" t="s">
        <v>21</v>
      </c>
      <c r="G215" t="s">
        <v>19</v>
      </c>
      <c r="H215" t="s">
        <v>124</v>
      </c>
      <c r="I215" t="s">
        <v>125</v>
      </c>
      <c r="J215" t="s">
        <v>126</v>
      </c>
      <c r="K215" t="s">
        <v>782</v>
      </c>
      <c r="L215" t="s">
        <v>85</v>
      </c>
      <c r="M215" t="s">
        <v>354</v>
      </c>
      <c r="N215">
        <v>1</v>
      </c>
      <c r="O215">
        <v>308.05</v>
      </c>
      <c r="P215">
        <v>308.05</v>
      </c>
      <c r="Q215">
        <v>0.05</v>
      </c>
      <c r="R215">
        <v>15.4</v>
      </c>
      <c r="S215">
        <v>292.65</v>
      </c>
      <c r="T215">
        <v>242.17</v>
      </c>
      <c r="U215">
        <v>50.48</v>
      </c>
      <c r="V215" t="s">
        <v>77</v>
      </c>
      <c r="W215" t="s">
        <v>78</v>
      </c>
      <c r="X215" t="s">
        <v>106</v>
      </c>
      <c r="Y215" t="s">
        <v>65</v>
      </c>
      <c r="Z215">
        <v>0</v>
      </c>
      <c r="AA215">
        <v>6</v>
      </c>
      <c r="AB215" t="s">
        <v>164</v>
      </c>
      <c r="AC215" t="s">
        <v>67</v>
      </c>
      <c r="AE215">
        <v>5</v>
      </c>
    </row>
    <row r="216" spans="1:31">
      <c r="A216" t="s">
        <v>916</v>
      </c>
      <c r="B216" t="s">
        <v>917</v>
      </c>
      <c r="C216" t="s">
        <v>918</v>
      </c>
      <c r="D216" t="s">
        <v>110</v>
      </c>
      <c r="E216">
        <v>31</v>
      </c>
      <c r="F216" t="s">
        <v>21</v>
      </c>
      <c r="G216" t="s">
        <v>16</v>
      </c>
      <c r="H216" t="s">
        <v>472</v>
      </c>
      <c r="J216" t="s">
        <v>473</v>
      </c>
      <c r="K216" t="s">
        <v>157</v>
      </c>
      <c r="L216" t="s">
        <v>151</v>
      </c>
      <c r="M216" t="s">
        <v>152</v>
      </c>
      <c r="N216">
        <v>1</v>
      </c>
      <c r="O216">
        <v>42.99</v>
      </c>
      <c r="P216">
        <v>42.99</v>
      </c>
      <c r="Q216">
        <v>0</v>
      </c>
      <c r="R216">
        <v>0</v>
      </c>
      <c r="S216">
        <v>42.99</v>
      </c>
      <c r="T216">
        <v>29.82</v>
      </c>
      <c r="U216">
        <v>13.17</v>
      </c>
      <c r="V216" t="s">
        <v>77</v>
      </c>
      <c r="W216" t="s">
        <v>78</v>
      </c>
      <c r="X216" t="s">
        <v>115</v>
      </c>
      <c r="Y216" t="s">
        <v>65</v>
      </c>
      <c r="Z216">
        <v>5.99</v>
      </c>
      <c r="AA216">
        <v>7</v>
      </c>
      <c r="AB216" t="s">
        <v>192</v>
      </c>
      <c r="AC216" t="s">
        <v>67</v>
      </c>
    </row>
    <row r="217" spans="1:31">
      <c r="A217" t="s">
        <v>919</v>
      </c>
      <c r="B217" t="s">
        <v>920</v>
      </c>
      <c r="C217" t="s">
        <v>892</v>
      </c>
      <c r="D217" t="s">
        <v>92</v>
      </c>
      <c r="E217">
        <v>62</v>
      </c>
      <c r="F217" t="s">
        <v>21</v>
      </c>
      <c r="G217" t="s">
        <v>19</v>
      </c>
      <c r="H217" t="s">
        <v>148</v>
      </c>
      <c r="J217" t="s">
        <v>182</v>
      </c>
      <c r="K217" t="s">
        <v>921</v>
      </c>
      <c r="L217" t="s">
        <v>214</v>
      </c>
      <c r="M217" t="s">
        <v>231</v>
      </c>
      <c r="N217">
        <v>2</v>
      </c>
      <c r="O217">
        <v>10.38</v>
      </c>
      <c r="P217">
        <v>20.76</v>
      </c>
      <c r="Q217">
        <v>0</v>
      </c>
      <c r="R217">
        <v>0</v>
      </c>
      <c r="S217">
        <v>20.76</v>
      </c>
      <c r="T217">
        <v>9.5</v>
      </c>
      <c r="U217">
        <v>11.26</v>
      </c>
      <c r="V217" t="s">
        <v>62</v>
      </c>
      <c r="W217" t="s">
        <v>114</v>
      </c>
      <c r="X217" t="s">
        <v>64</v>
      </c>
      <c r="Y217" t="s">
        <v>107</v>
      </c>
      <c r="Z217">
        <v>12.99</v>
      </c>
      <c r="AA217">
        <v>2</v>
      </c>
      <c r="AB217" t="s">
        <v>247</v>
      </c>
      <c r="AC217" t="s">
        <v>67</v>
      </c>
      <c r="AE217">
        <v>5</v>
      </c>
    </row>
    <row r="218" spans="1:31">
      <c r="A218" t="s">
        <v>922</v>
      </c>
      <c r="B218" t="s">
        <v>920</v>
      </c>
      <c r="C218" t="s">
        <v>923</v>
      </c>
      <c r="D218" t="s">
        <v>92</v>
      </c>
      <c r="E218">
        <v>37</v>
      </c>
      <c r="F218" t="s">
        <v>21</v>
      </c>
      <c r="G218" t="s">
        <v>19</v>
      </c>
      <c r="H218" t="s">
        <v>82</v>
      </c>
      <c r="J218" t="s">
        <v>156</v>
      </c>
      <c r="K218" t="s">
        <v>169</v>
      </c>
      <c r="L218" t="s">
        <v>60</v>
      </c>
      <c r="M218" t="s">
        <v>170</v>
      </c>
      <c r="N218">
        <v>1</v>
      </c>
      <c r="O218">
        <v>32.64</v>
      </c>
      <c r="P218">
        <v>32.64</v>
      </c>
      <c r="Q218">
        <v>0</v>
      </c>
      <c r="R218">
        <v>0</v>
      </c>
      <c r="S218">
        <v>32.64</v>
      </c>
      <c r="T218">
        <v>17.69</v>
      </c>
      <c r="U218">
        <v>14.95</v>
      </c>
      <c r="V218" t="s">
        <v>77</v>
      </c>
      <c r="W218" t="s">
        <v>78</v>
      </c>
      <c r="X218" t="s">
        <v>64</v>
      </c>
      <c r="Y218" t="s">
        <v>65</v>
      </c>
      <c r="Z218">
        <v>5.99</v>
      </c>
      <c r="AA218">
        <v>7</v>
      </c>
      <c r="AB218" t="s">
        <v>192</v>
      </c>
      <c r="AC218" t="s">
        <v>271</v>
      </c>
      <c r="AD218" t="s">
        <v>716</v>
      </c>
    </row>
    <row r="219" spans="1:31">
      <c r="A219" t="s">
        <v>924</v>
      </c>
      <c r="B219" t="s">
        <v>925</v>
      </c>
      <c r="C219" t="s">
        <v>926</v>
      </c>
      <c r="D219" t="s">
        <v>71</v>
      </c>
      <c r="E219">
        <v>27</v>
      </c>
      <c r="F219" t="s">
        <v>21</v>
      </c>
      <c r="G219" t="s">
        <v>16</v>
      </c>
      <c r="H219" t="s">
        <v>503</v>
      </c>
      <c r="J219" t="s">
        <v>504</v>
      </c>
      <c r="K219" t="s">
        <v>578</v>
      </c>
      <c r="L219" t="s">
        <v>196</v>
      </c>
      <c r="M219" t="s">
        <v>209</v>
      </c>
      <c r="N219">
        <v>3</v>
      </c>
      <c r="O219">
        <v>222.12</v>
      </c>
      <c r="P219">
        <v>666.36</v>
      </c>
      <c r="Q219">
        <v>0.1</v>
      </c>
      <c r="R219">
        <v>66.64</v>
      </c>
      <c r="S219">
        <v>599.72</v>
      </c>
      <c r="T219">
        <v>322.53</v>
      </c>
      <c r="U219">
        <v>277.19</v>
      </c>
      <c r="V219" t="s">
        <v>62</v>
      </c>
      <c r="W219" t="s">
        <v>114</v>
      </c>
      <c r="X219" t="s">
        <v>144</v>
      </c>
      <c r="Y219" t="s">
        <v>65</v>
      </c>
      <c r="Z219">
        <v>0</v>
      </c>
      <c r="AA219">
        <v>7</v>
      </c>
      <c r="AB219" t="s">
        <v>164</v>
      </c>
      <c r="AC219" t="s">
        <v>67</v>
      </c>
      <c r="AE219">
        <v>5</v>
      </c>
    </row>
    <row r="220" spans="1:31">
      <c r="A220" t="s">
        <v>927</v>
      </c>
      <c r="B220" t="s">
        <v>928</v>
      </c>
      <c r="C220" t="s">
        <v>607</v>
      </c>
      <c r="D220" t="s">
        <v>71</v>
      </c>
      <c r="E220">
        <v>21</v>
      </c>
      <c r="F220" t="s">
        <v>22</v>
      </c>
      <c r="G220" t="s">
        <v>16</v>
      </c>
      <c r="H220" t="s">
        <v>250</v>
      </c>
      <c r="J220" t="s">
        <v>322</v>
      </c>
      <c r="K220" t="s">
        <v>176</v>
      </c>
      <c r="L220" t="s">
        <v>177</v>
      </c>
      <c r="M220" t="s">
        <v>178</v>
      </c>
      <c r="N220">
        <v>3</v>
      </c>
      <c r="O220">
        <v>68.14</v>
      </c>
      <c r="P220">
        <v>204.42</v>
      </c>
      <c r="Q220">
        <v>0.15</v>
      </c>
      <c r="R220">
        <v>30.66</v>
      </c>
      <c r="S220">
        <v>173.76</v>
      </c>
      <c r="T220">
        <v>89</v>
      </c>
      <c r="U220">
        <v>84.76</v>
      </c>
      <c r="V220" t="s">
        <v>221</v>
      </c>
      <c r="W220" t="s">
        <v>114</v>
      </c>
      <c r="X220" t="s">
        <v>115</v>
      </c>
      <c r="Y220" t="s">
        <v>65</v>
      </c>
      <c r="Z220">
        <v>0</v>
      </c>
      <c r="AA220">
        <v>6</v>
      </c>
      <c r="AB220" t="s">
        <v>247</v>
      </c>
      <c r="AC220" t="s">
        <v>67</v>
      </c>
      <c r="AE220">
        <v>5</v>
      </c>
    </row>
    <row r="221" spans="1:31">
      <c r="A221" t="s">
        <v>929</v>
      </c>
      <c r="B221" t="s">
        <v>928</v>
      </c>
      <c r="C221" t="s">
        <v>294</v>
      </c>
      <c r="D221" t="s">
        <v>110</v>
      </c>
      <c r="E221">
        <v>36</v>
      </c>
      <c r="F221" t="s">
        <v>21</v>
      </c>
      <c r="G221" t="s">
        <v>19</v>
      </c>
      <c r="H221" t="s">
        <v>124</v>
      </c>
      <c r="I221" t="s">
        <v>167</v>
      </c>
      <c r="J221" t="s">
        <v>295</v>
      </c>
      <c r="K221" t="s">
        <v>930</v>
      </c>
      <c r="L221" t="s">
        <v>196</v>
      </c>
      <c r="M221" t="s">
        <v>341</v>
      </c>
      <c r="N221">
        <v>1</v>
      </c>
      <c r="O221">
        <v>72.66</v>
      </c>
      <c r="P221">
        <v>72.66</v>
      </c>
      <c r="Q221">
        <v>0.2</v>
      </c>
      <c r="R221">
        <v>14.53</v>
      </c>
      <c r="S221">
        <v>58.13</v>
      </c>
      <c r="T221">
        <v>28.69</v>
      </c>
      <c r="U221">
        <v>29.44</v>
      </c>
      <c r="V221" t="s">
        <v>77</v>
      </c>
      <c r="W221" t="s">
        <v>78</v>
      </c>
      <c r="X221" t="s">
        <v>64</v>
      </c>
      <c r="Y221" t="s">
        <v>65</v>
      </c>
      <c r="Z221">
        <v>5.99</v>
      </c>
      <c r="AA221">
        <v>6</v>
      </c>
      <c r="AB221" t="s">
        <v>66</v>
      </c>
      <c r="AC221" t="s">
        <v>67</v>
      </c>
      <c r="AE221">
        <v>5</v>
      </c>
    </row>
    <row r="222" spans="1:31">
      <c r="A222" t="s">
        <v>931</v>
      </c>
      <c r="B222" t="s">
        <v>932</v>
      </c>
      <c r="C222" t="s">
        <v>933</v>
      </c>
      <c r="D222" t="s">
        <v>71</v>
      </c>
      <c r="E222">
        <v>27</v>
      </c>
      <c r="F222" t="s">
        <v>21</v>
      </c>
      <c r="G222" t="s">
        <v>16</v>
      </c>
      <c r="H222" t="s">
        <v>358</v>
      </c>
      <c r="J222" t="s">
        <v>545</v>
      </c>
      <c r="K222" t="s">
        <v>335</v>
      </c>
      <c r="L222" t="s">
        <v>151</v>
      </c>
      <c r="M222" t="s">
        <v>336</v>
      </c>
      <c r="N222">
        <v>3</v>
      </c>
      <c r="O222">
        <v>44.36</v>
      </c>
      <c r="P222">
        <v>133.08</v>
      </c>
      <c r="Q222">
        <v>0.15</v>
      </c>
      <c r="R222">
        <v>19.96</v>
      </c>
      <c r="S222">
        <v>113.12</v>
      </c>
      <c r="T222">
        <v>92.5</v>
      </c>
      <c r="U222">
        <v>20.62</v>
      </c>
      <c r="V222" t="s">
        <v>96</v>
      </c>
      <c r="W222" t="s">
        <v>114</v>
      </c>
      <c r="X222" t="s">
        <v>87</v>
      </c>
      <c r="Y222" t="s">
        <v>65</v>
      </c>
      <c r="Z222">
        <v>0</v>
      </c>
      <c r="AA222">
        <v>7</v>
      </c>
      <c r="AB222" t="s">
        <v>281</v>
      </c>
      <c r="AC222" t="s">
        <v>67</v>
      </c>
    </row>
    <row r="223" spans="1:31">
      <c r="A223" t="s">
        <v>934</v>
      </c>
      <c r="B223" t="s">
        <v>935</v>
      </c>
      <c r="C223" t="s">
        <v>936</v>
      </c>
      <c r="D223" t="s">
        <v>92</v>
      </c>
      <c r="E223">
        <v>37</v>
      </c>
      <c r="F223" t="s">
        <v>21</v>
      </c>
      <c r="G223" t="s">
        <v>16</v>
      </c>
      <c r="H223" t="s">
        <v>57</v>
      </c>
      <c r="J223" t="s">
        <v>750</v>
      </c>
      <c r="K223" t="s">
        <v>779</v>
      </c>
      <c r="L223" t="s">
        <v>214</v>
      </c>
      <c r="M223" t="s">
        <v>780</v>
      </c>
      <c r="N223">
        <v>1</v>
      </c>
      <c r="O223">
        <v>120.78</v>
      </c>
      <c r="P223">
        <v>120.78</v>
      </c>
      <c r="Q223">
        <v>0.15</v>
      </c>
      <c r="R223">
        <v>18.12</v>
      </c>
      <c r="S223">
        <v>102.66</v>
      </c>
      <c r="T223">
        <v>50.73</v>
      </c>
      <c r="U223">
        <v>51.93</v>
      </c>
      <c r="V223" t="s">
        <v>221</v>
      </c>
      <c r="W223" t="s">
        <v>114</v>
      </c>
      <c r="X223" t="s">
        <v>64</v>
      </c>
      <c r="Y223" t="s">
        <v>107</v>
      </c>
      <c r="Z223">
        <v>12.99</v>
      </c>
      <c r="AA223">
        <v>2</v>
      </c>
      <c r="AB223" t="s">
        <v>66</v>
      </c>
      <c r="AC223" t="s">
        <v>67</v>
      </c>
      <c r="AE223">
        <v>4</v>
      </c>
    </row>
    <row r="224" spans="1:31">
      <c r="A224" t="s">
        <v>937</v>
      </c>
      <c r="B224" t="s">
        <v>938</v>
      </c>
      <c r="C224" t="s">
        <v>368</v>
      </c>
      <c r="D224" t="s">
        <v>110</v>
      </c>
      <c r="E224">
        <v>28</v>
      </c>
      <c r="F224" t="s">
        <v>21</v>
      </c>
      <c r="G224" t="s">
        <v>19</v>
      </c>
      <c r="H224" t="s">
        <v>124</v>
      </c>
      <c r="I224" t="s">
        <v>174</v>
      </c>
      <c r="J224" t="s">
        <v>175</v>
      </c>
      <c r="K224" t="s">
        <v>340</v>
      </c>
      <c r="L224" t="s">
        <v>196</v>
      </c>
      <c r="M224" t="s">
        <v>341</v>
      </c>
      <c r="N224">
        <v>1</v>
      </c>
      <c r="O224">
        <v>206.26</v>
      </c>
      <c r="P224">
        <v>206.26</v>
      </c>
      <c r="Q224">
        <v>0</v>
      </c>
      <c r="R224">
        <v>0</v>
      </c>
      <c r="S224">
        <v>206.26</v>
      </c>
      <c r="T224">
        <v>75.94</v>
      </c>
      <c r="U224">
        <v>130.32</v>
      </c>
      <c r="V224" t="s">
        <v>62</v>
      </c>
      <c r="W224" t="s">
        <v>114</v>
      </c>
      <c r="X224" t="s">
        <v>64</v>
      </c>
      <c r="Y224" t="s">
        <v>65</v>
      </c>
      <c r="Z224">
        <v>0</v>
      </c>
      <c r="AA224">
        <v>5</v>
      </c>
      <c r="AB224" t="s">
        <v>247</v>
      </c>
      <c r="AC224" t="s">
        <v>67</v>
      </c>
    </row>
    <row r="225" spans="1:31">
      <c r="A225" t="s">
        <v>939</v>
      </c>
      <c r="B225" t="s">
        <v>940</v>
      </c>
      <c r="C225" t="s">
        <v>941</v>
      </c>
      <c r="D225" t="s">
        <v>56</v>
      </c>
      <c r="E225">
        <v>52</v>
      </c>
      <c r="F225" t="s">
        <v>23</v>
      </c>
      <c r="G225" t="s">
        <v>19</v>
      </c>
      <c r="H225" t="s">
        <v>148</v>
      </c>
      <c r="J225" t="s">
        <v>182</v>
      </c>
      <c r="K225" t="s">
        <v>706</v>
      </c>
      <c r="L225" t="s">
        <v>151</v>
      </c>
      <c r="M225" t="s">
        <v>620</v>
      </c>
      <c r="N225">
        <v>1</v>
      </c>
      <c r="O225">
        <v>35.29</v>
      </c>
      <c r="P225">
        <v>35.29</v>
      </c>
      <c r="Q225">
        <v>0.1</v>
      </c>
      <c r="R225">
        <v>3.53</v>
      </c>
      <c r="S225">
        <v>31.76</v>
      </c>
      <c r="T225">
        <v>25.22</v>
      </c>
      <c r="U225">
        <v>6.54</v>
      </c>
      <c r="V225" t="s">
        <v>77</v>
      </c>
      <c r="W225" t="s">
        <v>78</v>
      </c>
      <c r="X225" t="s">
        <v>137</v>
      </c>
      <c r="Y225" t="s">
        <v>65</v>
      </c>
      <c r="Z225">
        <v>5.99</v>
      </c>
      <c r="AA225">
        <v>7</v>
      </c>
      <c r="AB225" t="s">
        <v>247</v>
      </c>
      <c r="AC225" t="s">
        <v>67</v>
      </c>
    </row>
    <row r="226" spans="1:31">
      <c r="A226" t="s">
        <v>942</v>
      </c>
      <c r="B226" t="s">
        <v>943</v>
      </c>
      <c r="C226" t="s">
        <v>401</v>
      </c>
      <c r="D226" t="s">
        <v>92</v>
      </c>
      <c r="E226">
        <v>48</v>
      </c>
      <c r="F226" t="s">
        <v>22</v>
      </c>
      <c r="G226" t="s">
        <v>16</v>
      </c>
      <c r="H226" t="s">
        <v>300</v>
      </c>
      <c r="J226" t="s">
        <v>313</v>
      </c>
      <c r="K226" t="s">
        <v>74</v>
      </c>
      <c r="L226" t="s">
        <v>75</v>
      </c>
      <c r="M226" t="s">
        <v>76</v>
      </c>
      <c r="N226">
        <v>1</v>
      </c>
      <c r="O226">
        <v>47.89</v>
      </c>
      <c r="P226">
        <v>47.89</v>
      </c>
      <c r="Q226">
        <v>0</v>
      </c>
      <c r="R226">
        <v>0</v>
      </c>
      <c r="S226">
        <v>47.89</v>
      </c>
      <c r="T226">
        <v>35.19</v>
      </c>
      <c r="U226">
        <v>12.7</v>
      </c>
      <c r="V226" t="s">
        <v>221</v>
      </c>
      <c r="W226" t="s">
        <v>78</v>
      </c>
      <c r="X226" t="s">
        <v>64</v>
      </c>
      <c r="Y226" t="s">
        <v>65</v>
      </c>
      <c r="Z226">
        <v>5.99</v>
      </c>
      <c r="AA226">
        <v>4</v>
      </c>
      <c r="AB226" t="s">
        <v>192</v>
      </c>
      <c r="AC226" t="s">
        <v>67</v>
      </c>
      <c r="AE226">
        <v>5</v>
      </c>
    </row>
    <row r="227" spans="1:31">
      <c r="A227" t="s">
        <v>944</v>
      </c>
      <c r="B227" t="s">
        <v>945</v>
      </c>
      <c r="C227" t="s">
        <v>264</v>
      </c>
      <c r="D227" t="s">
        <v>110</v>
      </c>
      <c r="E227">
        <v>18</v>
      </c>
      <c r="F227" t="s">
        <v>21</v>
      </c>
      <c r="G227" t="s">
        <v>19</v>
      </c>
      <c r="H227" t="s">
        <v>148</v>
      </c>
      <c r="J227" t="s">
        <v>265</v>
      </c>
      <c r="K227" t="s">
        <v>730</v>
      </c>
      <c r="L227" t="s">
        <v>177</v>
      </c>
      <c r="M227" t="s">
        <v>270</v>
      </c>
      <c r="N227">
        <v>1</v>
      </c>
      <c r="O227">
        <v>12.49</v>
      </c>
      <c r="P227">
        <v>12.49</v>
      </c>
      <c r="Q227">
        <v>0.05</v>
      </c>
      <c r="R227">
        <v>0.62</v>
      </c>
      <c r="S227">
        <v>11.87</v>
      </c>
      <c r="T227">
        <v>6.71</v>
      </c>
      <c r="U227">
        <v>5.16</v>
      </c>
      <c r="V227" t="s">
        <v>62</v>
      </c>
      <c r="W227" t="s">
        <v>78</v>
      </c>
      <c r="X227" t="s">
        <v>115</v>
      </c>
      <c r="Y227" t="s">
        <v>107</v>
      </c>
      <c r="Z227">
        <v>12.99</v>
      </c>
      <c r="AA227">
        <v>3</v>
      </c>
      <c r="AB227" t="s">
        <v>66</v>
      </c>
      <c r="AC227" t="s">
        <v>67</v>
      </c>
      <c r="AE227">
        <v>4</v>
      </c>
    </row>
    <row r="228" spans="1:31">
      <c r="A228" t="s">
        <v>946</v>
      </c>
      <c r="B228" t="s">
        <v>945</v>
      </c>
      <c r="C228" t="s">
        <v>947</v>
      </c>
      <c r="D228" t="s">
        <v>92</v>
      </c>
      <c r="E228">
        <v>35</v>
      </c>
      <c r="F228" t="s">
        <v>21</v>
      </c>
      <c r="G228" t="s">
        <v>19</v>
      </c>
      <c r="H228" t="s">
        <v>148</v>
      </c>
      <c r="J228" t="s">
        <v>398</v>
      </c>
      <c r="K228" t="s">
        <v>619</v>
      </c>
      <c r="L228" t="s">
        <v>151</v>
      </c>
      <c r="M228" t="s">
        <v>620</v>
      </c>
      <c r="N228">
        <v>1</v>
      </c>
      <c r="O228">
        <v>8.75</v>
      </c>
      <c r="P228">
        <v>8.75</v>
      </c>
      <c r="Q228">
        <v>0.25</v>
      </c>
      <c r="R228">
        <v>2.19</v>
      </c>
      <c r="S228">
        <v>6.56</v>
      </c>
      <c r="T228">
        <v>4.79</v>
      </c>
      <c r="U228">
        <v>1.77</v>
      </c>
      <c r="V228" t="s">
        <v>77</v>
      </c>
      <c r="W228" t="s">
        <v>78</v>
      </c>
      <c r="X228" t="s">
        <v>64</v>
      </c>
      <c r="Y228" t="s">
        <v>65</v>
      </c>
      <c r="Z228">
        <v>5.99</v>
      </c>
      <c r="AA228">
        <v>6</v>
      </c>
      <c r="AB228" t="s">
        <v>164</v>
      </c>
      <c r="AC228" t="s">
        <v>67</v>
      </c>
    </row>
    <row r="229" spans="1:31">
      <c r="A229" t="s">
        <v>948</v>
      </c>
      <c r="B229" t="s">
        <v>945</v>
      </c>
      <c r="C229" t="s">
        <v>949</v>
      </c>
      <c r="D229" t="s">
        <v>92</v>
      </c>
      <c r="E229">
        <v>23</v>
      </c>
      <c r="F229" t="s">
        <v>22</v>
      </c>
      <c r="G229" t="s">
        <v>19</v>
      </c>
      <c r="H229" t="s">
        <v>124</v>
      </c>
      <c r="I229" t="s">
        <v>950</v>
      </c>
      <c r="J229" t="s">
        <v>951</v>
      </c>
      <c r="K229" t="s">
        <v>112</v>
      </c>
      <c r="L229" t="s">
        <v>85</v>
      </c>
      <c r="M229" t="s">
        <v>113</v>
      </c>
      <c r="N229">
        <v>2</v>
      </c>
      <c r="O229">
        <v>1825.54</v>
      </c>
      <c r="P229">
        <v>3651.08</v>
      </c>
      <c r="Q229">
        <v>0</v>
      </c>
      <c r="R229">
        <v>0</v>
      </c>
      <c r="S229">
        <v>3651.08</v>
      </c>
      <c r="T229">
        <v>2652.14</v>
      </c>
      <c r="U229">
        <v>998.94</v>
      </c>
      <c r="V229" t="s">
        <v>62</v>
      </c>
      <c r="W229" t="s">
        <v>78</v>
      </c>
      <c r="X229" t="s">
        <v>137</v>
      </c>
      <c r="Y229" t="s">
        <v>65</v>
      </c>
      <c r="Z229">
        <v>0</v>
      </c>
      <c r="AA229">
        <v>4</v>
      </c>
      <c r="AB229" t="s">
        <v>97</v>
      </c>
      <c r="AC229" t="s">
        <v>67</v>
      </c>
    </row>
    <row r="230" spans="1:31">
      <c r="A230" t="s">
        <v>952</v>
      </c>
      <c r="B230" t="s">
        <v>953</v>
      </c>
      <c r="C230" t="s">
        <v>954</v>
      </c>
      <c r="D230" t="s">
        <v>92</v>
      </c>
      <c r="E230">
        <v>28</v>
      </c>
      <c r="F230" t="s">
        <v>21</v>
      </c>
      <c r="G230" t="s">
        <v>19</v>
      </c>
      <c r="H230" t="s">
        <v>82</v>
      </c>
      <c r="J230" t="s">
        <v>156</v>
      </c>
      <c r="K230" t="s">
        <v>280</v>
      </c>
      <c r="L230" t="s">
        <v>60</v>
      </c>
      <c r="M230" t="s">
        <v>170</v>
      </c>
      <c r="N230">
        <v>3</v>
      </c>
      <c r="O230">
        <v>337.89</v>
      </c>
      <c r="P230">
        <v>1013.67</v>
      </c>
      <c r="Q230">
        <v>0.3</v>
      </c>
      <c r="R230">
        <v>304.1</v>
      </c>
      <c r="S230">
        <v>709.57</v>
      </c>
      <c r="T230">
        <v>382.46</v>
      </c>
      <c r="U230">
        <v>327.11</v>
      </c>
      <c r="V230" t="s">
        <v>77</v>
      </c>
      <c r="W230" t="s">
        <v>78</v>
      </c>
      <c r="X230" t="s">
        <v>137</v>
      </c>
      <c r="Y230" t="s">
        <v>107</v>
      </c>
      <c r="Z230">
        <v>12.99</v>
      </c>
      <c r="AA230">
        <v>2</v>
      </c>
      <c r="AB230" t="s">
        <v>66</v>
      </c>
      <c r="AC230" t="s">
        <v>67</v>
      </c>
    </row>
    <row r="231" spans="1:31">
      <c r="A231" t="s">
        <v>955</v>
      </c>
      <c r="B231" t="s">
        <v>956</v>
      </c>
      <c r="C231" t="s">
        <v>957</v>
      </c>
      <c r="D231" t="s">
        <v>92</v>
      </c>
      <c r="E231">
        <v>35</v>
      </c>
      <c r="F231" t="s">
        <v>22</v>
      </c>
      <c r="G231" t="s">
        <v>16</v>
      </c>
      <c r="H231" t="s">
        <v>119</v>
      </c>
      <c r="J231" t="s">
        <v>276</v>
      </c>
      <c r="K231" t="s">
        <v>958</v>
      </c>
      <c r="L231" t="s">
        <v>104</v>
      </c>
      <c r="M231" t="s">
        <v>790</v>
      </c>
      <c r="N231">
        <v>1</v>
      </c>
      <c r="O231">
        <v>45.09</v>
      </c>
      <c r="P231">
        <v>45.09</v>
      </c>
      <c r="Q231">
        <v>0.1</v>
      </c>
      <c r="R231">
        <v>4.51</v>
      </c>
      <c r="S231">
        <v>40.58</v>
      </c>
      <c r="T231">
        <v>23.59</v>
      </c>
      <c r="U231">
        <v>16.99</v>
      </c>
      <c r="V231" t="s">
        <v>96</v>
      </c>
      <c r="W231" t="s">
        <v>114</v>
      </c>
      <c r="X231" t="s">
        <v>64</v>
      </c>
      <c r="Y231" t="s">
        <v>305</v>
      </c>
      <c r="Z231">
        <v>2.99</v>
      </c>
      <c r="AA231">
        <v>7</v>
      </c>
      <c r="AB231" t="s">
        <v>247</v>
      </c>
      <c r="AC231" t="s">
        <v>67</v>
      </c>
      <c r="AE231">
        <v>5</v>
      </c>
    </row>
    <row r="232" spans="1:31">
      <c r="A232" t="s">
        <v>959</v>
      </c>
      <c r="B232" t="s">
        <v>960</v>
      </c>
      <c r="C232" t="s">
        <v>961</v>
      </c>
      <c r="D232" t="s">
        <v>92</v>
      </c>
      <c r="E232">
        <v>41</v>
      </c>
      <c r="F232" t="s">
        <v>21</v>
      </c>
      <c r="G232" t="s">
        <v>19</v>
      </c>
      <c r="H232" t="s">
        <v>82</v>
      </c>
      <c r="J232" t="s">
        <v>83</v>
      </c>
      <c r="K232" t="s">
        <v>962</v>
      </c>
      <c r="L232" t="s">
        <v>75</v>
      </c>
      <c r="M232" t="s">
        <v>76</v>
      </c>
      <c r="N232">
        <v>1</v>
      </c>
      <c r="O232">
        <v>18.15</v>
      </c>
      <c r="P232">
        <v>18.15</v>
      </c>
      <c r="Q232">
        <v>0</v>
      </c>
      <c r="R232">
        <v>0</v>
      </c>
      <c r="S232">
        <v>18.15</v>
      </c>
      <c r="T232">
        <v>14</v>
      </c>
      <c r="U232">
        <v>4.15</v>
      </c>
      <c r="V232" t="s">
        <v>77</v>
      </c>
      <c r="W232" t="s">
        <v>78</v>
      </c>
      <c r="X232" t="s">
        <v>115</v>
      </c>
      <c r="Y232" t="s">
        <v>253</v>
      </c>
      <c r="Z232">
        <v>19.99</v>
      </c>
      <c r="AA232">
        <v>1</v>
      </c>
      <c r="AB232" t="s">
        <v>88</v>
      </c>
      <c r="AC232" t="s">
        <v>67</v>
      </c>
      <c r="AE232">
        <v>5</v>
      </c>
    </row>
    <row r="233" spans="1:31">
      <c r="A233" t="s">
        <v>963</v>
      </c>
      <c r="B233" t="s">
        <v>964</v>
      </c>
      <c r="C233" t="s">
        <v>965</v>
      </c>
      <c r="D233" t="s">
        <v>110</v>
      </c>
      <c r="E233">
        <v>56</v>
      </c>
      <c r="F233" t="s">
        <v>22</v>
      </c>
      <c r="G233" t="s">
        <v>16</v>
      </c>
      <c r="H233" t="s">
        <v>250</v>
      </c>
      <c r="J233" t="s">
        <v>251</v>
      </c>
      <c r="K233" t="s">
        <v>529</v>
      </c>
      <c r="L233" t="s">
        <v>85</v>
      </c>
      <c r="M233" t="s">
        <v>86</v>
      </c>
      <c r="N233">
        <v>1</v>
      </c>
      <c r="O233">
        <v>252.11</v>
      </c>
      <c r="P233">
        <v>252.11</v>
      </c>
      <c r="Q233">
        <v>0.1</v>
      </c>
      <c r="R233">
        <v>25.21</v>
      </c>
      <c r="S233">
        <v>226.9</v>
      </c>
      <c r="T233">
        <v>187.08</v>
      </c>
      <c r="U233">
        <v>39.82</v>
      </c>
      <c r="V233" t="s">
        <v>62</v>
      </c>
      <c r="W233" t="s">
        <v>114</v>
      </c>
      <c r="X233" t="s">
        <v>115</v>
      </c>
      <c r="Y233" t="s">
        <v>107</v>
      </c>
      <c r="Z233">
        <v>12.99</v>
      </c>
      <c r="AA233">
        <v>3</v>
      </c>
      <c r="AB233" t="s">
        <v>66</v>
      </c>
      <c r="AC233" t="s">
        <v>271</v>
      </c>
      <c r="AD233" t="s">
        <v>474</v>
      </c>
    </row>
    <row r="234" spans="1:31">
      <c r="A234" t="s">
        <v>966</v>
      </c>
      <c r="B234" t="s">
        <v>967</v>
      </c>
      <c r="C234" t="s">
        <v>968</v>
      </c>
      <c r="D234" t="s">
        <v>110</v>
      </c>
      <c r="E234">
        <v>18</v>
      </c>
      <c r="F234" t="s">
        <v>21</v>
      </c>
      <c r="G234" t="s">
        <v>16</v>
      </c>
      <c r="H234" t="s">
        <v>119</v>
      </c>
      <c r="J234" t="s">
        <v>120</v>
      </c>
      <c r="K234" t="s">
        <v>730</v>
      </c>
      <c r="L234" t="s">
        <v>177</v>
      </c>
      <c r="M234" t="s">
        <v>270</v>
      </c>
      <c r="N234">
        <v>1</v>
      </c>
      <c r="O234">
        <v>16.96</v>
      </c>
      <c r="P234">
        <v>16.96</v>
      </c>
      <c r="Q234">
        <v>0.2</v>
      </c>
      <c r="R234">
        <v>3.39</v>
      </c>
      <c r="S234">
        <v>13.57</v>
      </c>
      <c r="T234">
        <v>7.42</v>
      </c>
      <c r="U234">
        <v>6.15</v>
      </c>
      <c r="V234" t="s">
        <v>96</v>
      </c>
      <c r="W234" t="s">
        <v>78</v>
      </c>
      <c r="X234" t="s">
        <v>87</v>
      </c>
      <c r="Y234" t="s">
        <v>65</v>
      </c>
      <c r="Z234">
        <v>5.99</v>
      </c>
      <c r="AA234">
        <v>4</v>
      </c>
      <c r="AB234" t="s">
        <v>66</v>
      </c>
      <c r="AC234" t="s">
        <v>271</v>
      </c>
      <c r="AD234" t="s">
        <v>474</v>
      </c>
    </row>
    <row r="235" spans="1:31">
      <c r="A235" t="s">
        <v>969</v>
      </c>
      <c r="B235" t="s">
        <v>970</v>
      </c>
      <c r="C235" t="s">
        <v>971</v>
      </c>
      <c r="D235" t="s">
        <v>71</v>
      </c>
      <c r="E235">
        <v>24</v>
      </c>
      <c r="F235" t="s">
        <v>21</v>
      </c>
      <c r="G235" t="s">
        <v>15</v>
      </c>
      <c r="H235" t="s">
        <v>72</v>
      </c>
      <c r="J235" t="s">
        <v>663</v>
      </c>
      <c r="K235" t="s">
        <v>540</v>
      </c>
      <c r="L235" t="s">
        <v>85</v>
      </c>
      <c r="M235" t="s">
        <v>541</v>
      </c>
      <c r="N235">
        <v>1</v>
      </c>
      <c r="O235">
        <v>240.39</v>
      </c>
      <c r="P235">
        <v>240.39</v>
      </c>
      <c r="Q235">
        <v>0.1</v>
      </c>
      <c r="R235">
        <v>24.04</v>
      </c>
      <c r="S235">
        <v>216.35</v>
      </c>
      <c r="T235">
        <v>174.27</v>
      </c>
      <c r="U235">
        <v>42.08</v>
      </c>
      <c r="V235" t="s">
        <v>96</v>
      </c>
      <c r="W235" t="s">
        <v>78</v>
      </c>
      <c r="X235" t="s">
        <v>137</v>
      </c>
      <c r="Y235" t="s">
        <v>107</v>
      </c>
      <c r="Z235">
        <v>12.99</v>
      </c>
      <c r="AA235">
        <v>2</v>
      </c>
      <c r="AB235" t="s">
        <v>164</v>
      </c>
      <c r="AC235" t="s">
        <v>67</v>
      </c>
      <c r="AE235">
        <v>3</v>
      </c>
    </row>
    <row r="236" spans="1:31">
      <c r="A236" t="s">
        <v>972</v>
      </c>
      <c r="B236" t="s">
        <v>973</v>
      </c>
      <c r="C236" t="s">
        <v>330</v>
      </c>
      <c r="D236" t="s">
        <v>110</v>
      </c>
      <c r="E236">
        <v>38</v>
      </c>
      <c r="F236" t="s">
        <v>22</v>
      </c>
      <c r="G236" t="s">
        <v>19</v>
      </c>
      <c r="H236" t="s">
        <v>82</v>
      </c>
      <c r="J236" t="s">
        <v>83</v>
      </c>
      <c r="K236" t="s">
        <v>881</v>
      </c>
      <c r="L236" t="s">
        <v>75</v>
      </c>
      <c r="M236" t="s">
        <v>638</v>
      </c>
      <c r="N236">
        <v>3</v>
      </c>
      <c r="O236">
        <v>28.34</v>
      </c>
      <c r="P236">
        <v>85.02</v>
      </c>
      <c r="Q236">
        <v>0.1</v>
      </c>
      <c r="R236">
        <v>8.5</v>
      </c>
      <c r="S236">
        <v>76.52</v>
      </c>
      <c r="T236">
        <v>56.09</v>
      </c>
      <c r="U236">
        <v>20.43</v>
      </c>
      <c r="V236" t="s">
        <v>77</v>
      </c>
      <c r="W236" t="s">
        <v>78</v>
      </c>
      <c r="X236" t="s">
        <v>64</v>
      </c>
      <c r="Y236" t="s">
        <v>305</v>
      </c>
      <c r="Z236">
        <v>0</v>
      </c>
      <c r="AA236">
        <v>10</v>
      </c>
      <c r="AB236" t="s">
        <v>66</v>
      </c>
      <c r="AC236" t="s">
        <v>67</v>
      </c>
      <c r="AE236">
        <v>4</v>
      </c>
    </row>
    <row r="237" spans="1:31">
      <c r="A237" t="s">
        <v>974</v>
      </c>
      <c r="B237" t="s">
        <v>975</v>
      </c>
      <c r="C237" t="s">
        <v>166</v>
      </c>
      <c r="D237" t="s">
        <v>92</v>
      </c>
      <c r="E237">
        <v>37</v>
      </c>
      <c r="F237" t="s">
        <v>21</v>
      </c>
      <c r="G237" t="s">
        <v>19</v>
      </c>
      <c r="H237" t="s">
        <v>124</v>
      </c>
      <c r="I237" t="s">
        <v>167</v>
      </c>
      <c r="J237" t="s">
        <v>168</v>
      </c>
      <c r="K237" t="s">
        <v>976</v>
      </c>
      <c r="L237" t="s">
        <v>104</v>
      </c>
      <c r="M237" t="s">
        <v>376</v>
      </c>
      <c r="N237">
        <v>3</v>
      </c>
      <c r="O237">
        <v>105.9</v>
      </c>
      <c r="P237">
        <v>317.7</v>
      </c>
      <c r="Q237">
        <v>0</v>
      </c>
      <c r="R237">
        <v>0</v>
      </c>
      <c r="S237">
        <v>317.7</v>
      </c>
      <c r="T237">
        <v>226.52</v>
      </c>
      <c r="U237">
        <v>91.18</v>
      </c>
      <c r="V237" t="s">
        <v>62</v>
      </c>
      <c r="W237" t="s">
        <v>114</v>
      </c>
      <c r="X237" t="s">
        <v>106</v>
      </c>
      <c r="Y237" t="s">
        <v>107</v>
      </c>
      <c r="Z237">
        <v>12.99</v>
      </c>
      <c r="AA237">
        <v>3</v>
      </c>
      <c r="AB237" t="s">
        <v>247</v>
      </c>
      <c r="AC237" t="s">
        <v>67</v>
      </c>
      <c r="AE237">
        <v>5</v>
      </c>
    </row>
    <row r="238" spans="1:31">
      <c r="A238" t="s">
        <v>977</v>
      </c>
      <c r="B238" t="s">
        <v>978</v>
      </c>
      <c r="C238" t="s">
        <v>979</v>
      </c>
      <c r="D238" t="s">
        <v>110</v>
      </c>
      <c r="E238">
        <v>46</v>
      </c>
      <c r="F238" t="s">
        <v>22</v>
      </c>
      <c r="G238" t="s">
        <v>16</v>
      </c>
      <c r="H238" t="s">
        <v>472</v>
      </c>
      <c r="J238" t="s">
        <v>980</v>
      </c>
      <c r="K238" t="s">
        <v>135</v>
      </c>
      <c r="L238" t="s">
        <v>60</v>
      </c>
      <c r="M238" t="s">
        <v>136</v>
      </c>
      <c r="N238">
        <v>4</v>
      </c>
      <c r="O238">
        <v>38.62</v>
      </c>
      <c r="P238">
        <v>154.48</v>
      </c>
      <c r="Q238">
        <v>0.1</v>
      </c>
      <c r="R238">
        <v>15.45</v>
      </c>
      <c r="S238">
        <v>139.03</v>
      </c>
      <c r="T238">
        <v>81.54</v>
      </c>
      <c r="U238">
        <v>57.49</v>
      </c>
      <c r="V238" t="s">
        <v>62</v>
      </c>
      <c r="W238" t="s">
        <v>78</v>
      </c>
      <c r="X238" t="s">
        <v>64</v>
      </c>
      <c r="Y238" t="s">
        <v>65</v>
      </c>
      <c r="Z238">
        <v>0</v>
      </c>
      <c r="AA238">
        <v>7</v>
      </c>
      <c r="AB238" t="s">
        <v>88</v>
      </c>
      <c r="AC238" t="s">
        <v>67</v>
      </c>
      <c r="AE238">
        <v>5</v>
      </c>
    </row>
    <row r="239" spans="1:31">
      <c r="A239" t="s">
        <v>981</v>
      </c>
      <c r="B239" t="s">
        <v>982</v>
      </c>
      <c r="C239" t="s">
        <v>983</v>
      </c>
      <c r="D239" t="s">
        <v>71</v>
      </c>
      <c r="E239">
        <v>26</v>
      </c>
      <c r="F239" t="s">
        <v>22</v>
      </c>
      <c r="G239" t="s">
        <v>16</v>
      </c>
      <c r="H239" t="s">
        <v>300</v>
      </c>
      <c r="J239" t="s">
        <v>301</v>
      </c>
      <c r="K239" t="s">
        <v>666</v>
      </c>
      <c r="L239" t="s">
        <v>60</v>
      </c>
      <c r="M239" t="s">
        <v>518</v>
      </c>
      <c r="N239">
        <v>1</v>
      </c>
      <c r="O239">
        <v>130.58</v>
      </c>
      <c r="P239">
        <v>130.58</v>
      </c>
      <c r="Q239">
        <v>0.1</v>
      </c>
      <c r="R239">
        <v>13.06</v>
      </c>
      <c r="S239">
        <v>117.52</v>
      </c>
      <c r="T239">
        <v>72.1</v>
      </c>
      <c r="U239">
        <v>45.42</v>
      </c>
      <c r="V239" t="s">
        <v>77</v>
      </c>
      <c r="W239" t="s">
        <v>78</v>
      </c>
      <c r="X239" t="s">
        <v>115</v>
      </c>
      <c r="Y239" t="s">
        <v>65</v>
      </c>
      <c r="Z239">
        <v>0</v>
      </c>
      <c r="AA239">
        <v>6</v>
      </c>
      <c r="AB239" t="s">
        <v>185</v>
      </c>
      <c r="AC239" t="s">
        <v>67</v>
      </c>
    </row>
    <row r="240" spans="1:31">
      <c r="A240" t="s">
        <v>984</v>
      </c>
      <c r="B240" t="s">
        <v>985</v>
      </c>
      <c r="C240" t="s">
        <v>986</v>
      </c>
      <c r="D240" t="s">
        <v>71</v>
      </c>
      <c r="E240">
        <v>41</v>
      </c>
      <c r="F240" t="s">
        <v>21</v>
      </c>
      <c r="G240" t="s">
        <v>16</v>
      </c>
      <c r="H240" t="s">
        <v>472</v>
      </c>
      <c r="J240" t="s">
        <v>980</v>
      </c>
      <c r="K240" t="s">
        <v>987</v>
      </c>
      <c r="L240" t="s">
        <v>60</v>
      </c>
      <c r="M240" t="s">
        <v>136</v>
      </c>
      <c r="N240">
        <v>1</v>
      </c>
      <c r="O240">
        <v>685.73</v>
      </c>
      <c r="P240">
        <v>685.73</v>
      </c>
      <c r="Q240">
        <v>0.05</v>
      </c>
      <c r="R240">
        <v>34.29</v>
      </c>
      <c r="S240">
        <v>651.44</v>
      </c>
      <c r="T240">
        <v>353.73</v>
      </c>
      <c r="U240">
        <v>297.71</v>
      </c>
      <c r="V240" t="s">
        <v>62</v>
      </c>
      <c r="W240" t="s">
        <v>78</v>
      </c>
      <c r="X240" t="s">
        <v>64</v>
      </c>
      <c r="Y240" t="s">
        <v>305</v>
      </c>
      <c r="Z240">
        <v>0</v>
      </c>
      <c r="AA240">
        <v>8</v>
      </c>
      <c r="AB240" t="s">
        <v>164</v>
      </c>
      <c r="AC240" t="s">
        <v>67</v>
      </c>
      <c r="AE240">
        <v>5</v>
      </c>
    </row>
    <row r="241" spans="1:31">
      <c r="A241" t="s">
        <v>988</v>
      </c>
      <c r="B241" t="s">
        <v>989</v>
      </c>
      <c r="C241" t="s">
        <v>264</v>
      </c>
      <c r="D241" t="s">
        <v>110</v>
      </c>
      <c r="E241">
        <v>18</v>
      </c>
      <c r="F241" t="s">
        <v>21</v>
      </c>
      <c r="G241" t="s">
        <v>19</v>
      </c>
      <c r="H241" t="s">
        <v>148</v>
      </c>
      <c r="J241" t="s">
        <v>265</v>
      </c>
      <c r="K241" t="s">
        <v>990</v>
      </c>
      <c r="L241" t="s">
        <v>104</v>
      </c>
      <c r="M241" t="s">
        <v>790</v>
      </c>
      <c r="N241">
        <v>1</v>
      </c>
      <c r="O241">
        <v>35.55</v>
      </c>
      <c r="P241">
        <v>35.55</v>
      </c>
      <c r="Q241">
        <v>0.15</v>
      </c>
      <c r="R241">
        <v>5.33</v>
      </c>
      <c r="S241">
        <v>30.22</v>
      </c>
      <c r="T241">
        <v>16.91</v>
      </c>
      <c r="U241">
        <v>13.31</v>
      </c>
      <c r="V241" t="s">
        <v>62</v>
      </c>
      <c r="W241" t="s">
        <v>63</v>
      </c>
      <c r="X241" t="s">
        <v>137</v>
      </c>
      <c r="Y241" t="s">
        <v>65</v>
      </c>
      <c r="Z241">
        <v>5.99</v>
      </c>
      <c r="AA241">
        <v>4</v>
      </c>
      <c r="AB241" t="s">
        <v>97</v>
      </c>
      <c r="AC241" t="s">
        <v>67</v>
      </c>
      <c r="AE241">
        <v>5</v>
      </c>
    </row>
    <row r="242" spans="1:31">
      <c r="A242" t="s">
        <v>991</v>
      </c>
      <c r="B242" t="s">
        <v>992</v>
      </c>
      <c r="C242" t="s">
        <v>993</v>
      </c>
      <c r="D242" t="s">
        <v>92</v>
      </c>
      <c r="E242">
        <v>29</v>
      </c>
      <c r="F242" t="s">
        <v>21</v>
      </c>
      <c r="G242" t="s">
        <v>19</v>
      </c>
      <c r="H242" t="s">
        <v>82</v>
      </c>
      <c r="J242" t="s">
        <v>83</v>
      </c>
      <c r="K242" t="s">
        <v>103</v>
      </c>
      <c r="L242" t="s">
        <v>104</v>
      </c>
      <c r="M242" t="s">
        <v>105</v>
      </c>
      <c r="N242">
        <v>4</v>
      </c>
      <c r="O242">
        <v>721.13</v>
      </c>
      <c r="P242">
        <v>2884.52</v>
      </c>
      <c r="Q242">
        <v>0</v>
      </c>
      <c r="R242">
        <v>0</v>
      </c>
      <c r="S242">
        <v>2884.52</v>
      </c>
      <c r="T242">
        <v>1628.02</v>
      </c>
      <c r="U242">
        <v>1256.5</v>
      </c>
      <c r="V242" t="s">
        <v>221</v>
      </c>
      <c r="W242" t="s">
        <v>63</v>
      </c>
      <c r="X242" t="s">
        <v>87</v>
      </c>
      <c r="Y242" t="s">
        <v>107</v>
      </c>
      <c r="Z242">
        <v>12.99</v>
      </c>
      <c r="AA242">
        <v>2</v>
      </c>
      <c r="AB242" t="s">
        <v>164</v>
      </c>
      <c r="AC242" t="s">
        <v>67</v>
      </c>
      <c r="AE242">
        <v>5</v>
      </c>
    </row>
    <row r="243" spans="1:31">
      <c r="A243" t="s">
        <v>994</v>
      </c>
      <c r="B243" t="s">
        <v>995</v>
      </c>
      <c r="C243" t="s">
        <v>118</v>
      </c>
      <c r="D243" t="s">
        <v>110</v>
      </c>
      <c r="E243">
        <v>43</v>
      </c>
      <c r="F243" t="s">
        <v>21</v>
      </c>
      <c r="G243" t="s">
        <v>16</v>
      </c>
      <c r="H243" t="s">
        <v>119</v>
      </c>
      <c r="J243" t="s">
        <v>120</v>
      </c>
      <c r="K243" t="s">
        <v>746</v>
      </c>
      <c r="L243" t="s">
        <v>196</v>
      </c>
      <c r="M243" t="s">
        <v>205</v>
      </c>
      <c r="N243">
        <v>2</v>
      </c>
      <c r="O243">
        <v>58.5</v>
      </c>
      <c r="P243">
        <v>117</v>
      </c>
      <c r="Q243">
        <v>0</v>
      </c>
      <c r="R243">
        <v>0</v>
      </c>
      <c r="S243">
        <v>117</v>
      </c>
      <c r="T243">
        <v>44.52</v>
      </c>
      <c r="U243">
        <v>72.48</v>
      </c>
      <c r="V243" t="s">
        <v>77</v>
      </c>
      <c r="W243" t="s">
        <v>78</v>
      </c>
      <c r="X243" t="s">
        <v>64</v>
      </c>
      <c r="Y243" t="s">
        <v>107</v>
      </c>
      <c r="Z243">
        <v>12.99</v>
      </c>
      <c r="AA243">
        <v>2</v>
      </c>
      <c r="AB243" t="s">
        <v>66</v>
      </c>
      <c r="AC243" t="s">
        <v>67</v>
      </c>
      <c r="AE243">
        <v>4</v>
      </c>
    </row>
    <row r="244" spans="1:31">
      <c r="A244" t="s">
        <v>996</v>
      </c>
      <c r="B244" t="s">
        <v>997</v>
      </c>
      <c r="C244" t="s">
        <v>299</v>
      </c>
      <c r="D244" t="s">
        <v>71</v>
      </c>
      <c r="E244">
        <v>55</v>
      </c>
      <c r="F244" t="s">
        <v>23</v>
      </c>
      <c r="G244" t="s">
        <v>16</v>
      </c>
      <c r="H244" t="s">
        <v>300</v>
      </c>
      <c r="J244" t="s">
        <v>301</v>
      </c>
      <c r="K244" t="s">
        <v>236</v>
      </c>
      <c r="L244" t="s">
        <v>85</v>
      </c>
      <c r="M244" t="s">
        <v>113</v>
      </c>
      <c r="N244">
        <v>1</v>
      </c>
      <c r="O244">
        <v>1110.86</v>
      </c>
      <c r="P244">
        <v>1110.86</v>
      </c>
      <c r="Q244">
        <v>0</v>
      </c>
      <c r="R244">
        <v>0</v>
      </c>
      <c r="S244">
        <v>1110.86</v>
      </c>
      <c r="T244">
        <v>860.36</v>
      </c>
      <c r="U244">
        <v>250.5</v>
      </c>
      <c r="V244" t="s">
        <v>77</v>
      </c>
      <c r="W244" t="s">
        <v>78</v>
      </c>
      <c r="X244" t="s">
        <v>137</v>
      </c>
      <c r="Y244" t="s">
        <v>65</v>
      </c>
      <c r="Z244">
        <v>0</v>
      </c>
      <c r="AA244">
        <v>4</v>
      </c>
      <c r="AB244" t="s">
        <v>192</v>
      </c>
      <c r="AC244" t="s">
        <v>67</v>
      </c>
    </row>
    <row r="245" spans="1:31">
      <c r="A245" t="s">
        <v>998</v>
      </c>
      <c r="B245" t="s">
        <v>999</v>
      </c>
      <c r="C245" t="s">
        <v>568</v>
      </c>
      <c r="D245" t="s">
        <v>110</v>
      </c>
      <c r="E245">
        <v>46</v>
      </c>
      <c r="F245" t="s">
        <v>22</v>
      </c>
      <c r="G245" t="s">
        <v>19</v>
      </c>
      <c r="H245" t="s">
        <v>148</v>
      </c>
      <c r="J245" t="s">
        <v>398</v>
      </c>
      <c r="K245" t="s">
        <v>608</v>
      </c>
      <c r="L245" t="s">
        <v>214</v>
      </c>
      <c r="M245" t="s">
        <v>609</v>
      </c>
      <c r="N245">
        <v>2</v>
      </c>
      <c r="O245">
        <v>28.46</v>
      </c>
      <c r="P245">
        <v>56.92</v>
      </c>
      <c r="Q245">
        <v>0.15</v>
      </c>
      <c r="R245">
        <v>8.54</v>
      </c>
      <c r="S245">
        <v>48.38</v>
      </c>
      <c r="T245">
        <v>16.18</v>
      </c>
      <c r="U245">
        <v>32.2</v>
      </c>
      <c r="V245" t="s">
        <v>62</v>
      </c>
      <c r="W245" t="s">
        <v>114</v>
      </c>
      <c r="X245" t="s">
        <v>64</v>
      </c>
      <c r="Y245" t="s">
        <v>253</v>
      </c>
      <c r="Z245">
        <v>19.99</v>
      </c>
      <c r="AA245">
        <v>1</v>
      </c>
      <c r="AB245" t="s">
        <v>66</v>
      </c>
      <c r="AC245" t="s">
        <v>67</v>
      </c>
      <c r="AE245">
        <v>5</v>
      </c>
    </row>
    <row r="246" spans="1:31">
      <c r="A246" t="s">
        <v>1000</v>
      </c>
      <c r="B246" t="s">
        <v>999</v>
      </c>
      <c r="C246" t="s">
        <v>536</v>
      </c>
      <c r="D246" t="s">
        <v>71</v>
      </c>
      <c r="E246">
        <v>39</v>
      </c>
      <c r="F246" t="s">
        <v>22</v>
      </c>
      <c r="G246" t="s">
        <v>19</v>
      </c>
      <c r="H246" t="s">
        <v>148</v>
      </c>
      <c r="J246" t="s">
        <v>398</v>
      </c>
      <c r="K246" t="s">
        <v>1001</v>
      </c>
      <c r="L246" t="s">
        <v>177</v>
      </c>
      <c r="M246" t="s">
        <v>184</v>
      </c>
      <c r="N246">
        <v>1</v>
      </c>
      <c r="O246">
        <v>60.48</v>
      </c>
      <c r="P246">
        <v>60.48</v>
      </c>
      <c r="Q246">
        <v>0.15</v>
      </c>
      <c r="R246">
        <v>9.07</v>
      </c>
      <c r="S246">
        <v>51.41</v>
      </c>
      <c r="T246">
        <v>32.6</v>
      </c>
      <c r="U246">
        <v>18.81</v>
      </c>
      <c r="V246" t="s">
        <v>77</v>
      </c>
      <c r="W246" t="s">
        <v>78</v>
      </c>
      <c r="X246" t="s">
        <v>129</v>
      </c>
      <c r="Y246" t="s">
        <v>107</v>
      </c>
      <c r="Z246">
        <v>12.99</v>
      </c>
      <c r="AA246">
        <v>2</v>
      </c>
      <c r="AB246" t="s">
        <v>164</v>
      </c>
      <c r="AC246" t="s">
        <v>67</v>
      </c>
      <c r="AE246">
        <v>5</v>
      </c>
    </row>
    <row r="247" spans="1:31">
      <c r="A247" t="s">
        <v>1002</v>
      </c>
      <c r="B247" t="s">
        <v>1003</v>
      </c>
      <c r="C247" t="s">
        <v>1004</v>
      </c>
      <c r="D247" t="s">
        <v>110</v>
      </c>
      <c r="E247">
        <v>40</v>
      </c>
      <c r="F247" t="s">
        <v>22</v>
      </c>
      <c r="G247" t="s">
        <v>19</v>
      </c>
      <c r="H247" t="s">
        <v>148</v>
      </c>
      <c r="J247" t="s">
        <v>265</v>
      </c>
      <c r="K247" t="s">
        <v>466</v>
      </c>
      <c r="L247" t="s">
        <v>60</v>
      </c>
      <c r="M247" t="s">
        <v>61</v>
      </c>
      <c r="N247">
        <v>1</v>
      </c>
      <c r="O247">
        <v>33.9</v>
      </c>
      <c r="P247">
        <v>33.9</v>
      </c>
      <c r="Q247">
        <v>0.1</v>
      </c>
      <c r="R247">
        <v>3.39</v>
      </c>
      <c r="S247">
        <v>30.51</v>
      </c>
      <c r="T247">
        <v>20.12</v>
      </c>
      <c r="U247">
        <v>10.39</v>
      </c>
      <c r="V247" t="s">
        <v>62</v>
      </c>
      <c r="W247" t="s">
        <v>114</v>
      </c>
      <c r="X247" t="s">
        <v>64</v>
      </c>
      <c r="Y247" t="s">
        <v>65</v>
      </c>
      <c r="Z247">
        <v>5.99</v>
      </c>
      <c r="AA247">
        <v>6</v>
      </c>
      <c r="AB247" t="s">
        <v>66</v>
      </c>
      <c r="AC247" t="s">
        <v>67</v>
      </c>
      <c r="AE247">
        <v>4</v>
      </c>
    </row>
    <row r="248" spans="1:31">
      <c r="A248" t="s">
        <v>1005</v>
      </c>
      <c r="B248" t="s">
        <v>1003</v>
      </c>
      <c r="C248" t="s">
        <v>1006</v>
      </c>
      <c r="D248" t="s">
        <v>92</v>
      </c>
      <c r="E248">
        <v>45</v>
      </c>
      <c r="F248" t="s">
        <v>22</v>
      </c>
      <c r="G248" t="s">
        <v>19</v>
      </c>
      <c r="H248" t="s">
        <v>82</v>
      </c>
      <c r="J248" t="s">
        <v>229</v>
      </c>
      <c r="K248" t="s">
        <v>820</v>
      </c>
      <c r="L248" t="s">
        <v>214</v>
      </c>
      <c r="M248" t="s">
        <v>231</v>
      </c>
      <c r="N248">
        <v>1</v>
      </c>
      <c r="O248">
        <v>16.85</v>
      </c>
      <c r="P248">
        <v>16.85</v>
      </c>
      <c r="Q248">
        <v>0</v>
      </c>
      <c r="R248">
        <v>0</v>
      </c>
      <c r="S248">
        <v>16.85</v>
      </c>
      <c r="T248">
        <v>7.95</v>
      </c>
      <c r="U248">
        <v>8.9</v>
      </c>
      <c r="V248" t="s">
        <v>96</v>
      </c>
      <c r="W248" t="s">
        <v>78</v>
      </c>
      <c r="X248" t="s">
        <v>137</v>
      </c>
      <c r="Y248" t="s">
        <v>305</v>
      </c>
      <c r="Z248">
        <v>2.99</v>
      </c>
      <c r="AA248">
        <v>7</v>
      </c>
      <c r="AB248" t="s">
        <v>88</v>
      </c>
      <c r="AC248" t="s">
        <v>67</v>
      </c>
      <c r="AE248">
        <v>4</v>
      </c>
    </row>
    <row r="249" spans="1:31">
      <c r="A249" t="s">
        <v>1007</v>
      </c>
      <c r="B249" t="s">
        <v>1003</v>
      </c>
      <c r="C249" t="s">
        <v>123</v>
      </c>
      <c r="D249" t="s">
        <v>110</v>
      </c>
      <c r="E249">
        <v>41</v>
      </c>
      <c r="F249" t="s">
        <v>22</v>
      </c>
      <c r="G249" t="s">
        <v>19</v>
      </c>
      <c r="H249" t="s">
        <v>124</v>
      </c>
      <c r="I249" t="s">
        <v>125</v>
      </c>
      <c r="J249" t="s">
        <v>126</v>
      </c>
      <c r="K249" t="s">
        <v>103</v>
      </c>
      <c r="L249" t="s">
        <v>104</v>
      </c>
      <c r="M249" t="s">
        <v>105</v>
      </c>
      <c r="N249">
        <v>3</v>
      </c>
      <c r="O249">
        <v>434.7</v>
      </c>
      <c r="P249">
        <v>1304.1</v>
      </c>
      <c r="Q249">
        <v>0.1</v>
      </c>
      <c r="R249">
        <v>130.41</v>
      </c>
      <c r="S249">
        <v>1173.69</v>
      </c>
      <c r="T249">
        <v>782.15</v>
      </c>
      <c r="U249">
        <v>391.54</v>
      </c>
      <c r="V249" t="s">
        <v>62</v>
      </c>
      <c r="W249" t="s">
        <v>78</v>
      </c>
      <c r="X249" t="s">
        <v>64</v>
      </c>
      <c r="Y249" t="s">
        <v>107</v>
      </c>
      <c r="Z249">
        <v>12.99</v>
      </c>
      <c r="AA249">
        <v>3</v>
      </c>
      <c r="AB249" t="s">
        <v>66</v>
      </c>
      <c r="AC249" t="s">
        <v>67</v>
      </c>
      <c r="AE249">
        <v>5</v>
      </c>
    </row>
    <row r="250" spans="1:31">
      <c r="A250" t="s">
        <v>1008</v>
      </c>
      <c r="B250" t="s">
        <v>1009</v>
      </c>
      <c r="C250" t="s">
        <v>299</v>
      </c>
      <c r="D250" t="s">
        <v>71</v>
      </c>
      <c r="E250">
        <v>55</v>
      </c>
      <c r="F250" t="s">
        <v>23</v>
      </c>
      <c r="G250" t="s">
        <v>16</v>
      </c>
      <c r="H250" t="s">
        <v>300</v>
      </c>
      <c r="J250" t="s">
        <v>301</v>
      </c>
      <c r="K250" t="s">
        <v>572</v>
      </c>
      <c r="L250" t="s">
        <v>85</v>
      </c>
      <c r="M250" t="s">
        <v>541</v>
      </c>
      <c r="N250">
        <v>1</v>
      </c>
      <c r="O250">
        <v>595.66</v>
      </c>
      <c r="P250">
        <v>595.66</v>
      </c>
      <c r="Q250">
        <v>0.2</v>
      </c>
      <c r="R250">
        <v>119.13</v>
      </c>
      <c r="S250">
        <v>476.53</v>
      </c>
      <c r="T250">
        <v>401.24</v>
      </c>
      <c r="U250">
        <v>75.29</v>
      </c>
      <c r="V250" t="s">
        <v>77</v>
      </c>
      <c r="W250" t="s">
        <v>78</v>
      </c>
      <c r="X250" t="s">
        <v>137</v>
      </c>
      <c r="Y250" t="s">
        <v>253</v>
      </c>
      <c r="Z250">
        <v>19.99</v>
      </c>
      <c r="AA250">
        <v>1</v>
      </c>
      <c r="AB250" t="s">
        <v>192</v>
      </c>
      <c r="AC250" t="s">
        <v>67</v>
      </c>
      <c r="AE250">
        <v>4</v>
      </c>
    </row>
    <row r="251" spans="1:31">
      <c r="A251" t="s">
        <v>1010</v>
      </c>
      <c r="B251" t="s">
        <v>1011</v>
      </c>
      <c r="C251" t="s">
        <v>1012</v>
      </c>
      <c r="D251" t="s">
        <v>110</v>
      </c>
      <c r="E251">
        <v>35</v>
      </c>
      <c r="F251" t="s">
        <v>21</v>
      </c>
      <c r="G251" t="s">
        <v>16</v>
      </c>
      <c r="H251" t="s">
        <v>57</v>
      </c>
      <c r="J251" t="s">
        <v>285</v>
      </c>
      <c r="K251" t="s">
        <v>590</v>
      </c>
      <c r="L251" t="s">
        <v>60</v>
      </c>
      <c r="M251" t="s">
        <v>490</v>
      </c>
      <c r="N251">
        <v>2</v>
      </c>
      <c r="O251">
        <v>66.98</v>
      </c>
      <c r="P251">
        <v>133.96</v>
      </c>
      <c r="Q251">
        <v>0</v>
      </c>
      <c r="R251">
        <v>0</v>
      </c>
      <c r="S251">
        <v>133.96</v>
      </c>
      <c r="T251">
        <v>72.07</v>
      </c>
      <c r="U251">
        <v>61.89</v>
      </c>
      <c r="V251" t="s">
        <v>77</v>
      </c>
      <c r="W251" t="s">
        <v>78</v>
      </c>
      <c r="X251" t="s">
        <v>64</v>
      </c>
      <c r="Y251" t="s">
        <v>253</v>
      </c>
      <c r="Z251">
        <v>19.99</v>
      </c>
      <c r="AA251">
        <v>1</v>
      </c>
      <c r="AB251" t="s">
        <v>66</v>
      </c>
      <c r="AC251" t="s">
        <v>67</v>
      </c>
      <c r="AE251">
        <f ca="1">SUM(AE:AE)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7" zoomScaleNormal="117" topLeftCell="A47" workbookViewId="0">
      <selection activeCell="L57" sqref="L57"/>
    </sheetView>
  </sheetViews>
  <sheetFormatPr defaultColWidth="11" defaultRowHeight="14.5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0"/>
  <sheetViews>
    <sheetView workbookViewId="0">
      <selection activeCell="F14" sqref="F14"/>
    </sheetView>
  </sheetViews>
  <sheetFormatPr defaultColWidth="8.72727272727273" defaultRowHeight="14.5" outlineLevelCol="7"/>
  <cols>
    <col min="2" max="2" width="15.3636363636364" customWidth="1"/>
    <col min="6" max="6" width="15.5454545454545" customWidth="1"/>
  </cols>
  <sheetData>
    <row r="2" spans="1:8">
      <c r="A2" t="s">
        <v>1013</v>
      </c>
      <c r="B2" t="s">
        <v>1014</v>
      </c>
      <c r="C2">
        <v>45</v>
      </c>
      <c r="D2" s="1">
        <v>92000</v>
      </c>
    </row>
    <row r="3" spans="1:8">
      <c r="A3" t="s">
        <v>1015</v>
      </c>
      <c r="B3" t="s">
        <v>1016</v>
      </c>
      <c r="C3">
        <v>47</v>
      </c>
      <c r="D3" s="1">
        <v>99000</v>
      </c>
    </row>
    <row r="4" spans="1:8">
      <c r="A4" t="s">
        <v>1017</v>
      </c>
      <c r="B4" t="s">
        <v>1018</v>
      </c>
      <c r="C4">
        <v>82</v>
      </c>
      <c r="D4" s="1">
        <v>17000</v>
      </c>
      <c r="G4">
        <f>SUM(D2:D4)</f>
        <v>208000</v>
      </c>
      <c r="H4">
        <f>COUNT(D2:D4)</f>
        <v>3</v>
      </c>
    </row>
    <row r="6" spans="1:8">
      <c r="D6">
        <f>VLOOKUP(A3,A2:D4,4,3)</f>
        <v>99000</v>
      </c>
    </row>
    <row r="7" spans="1:8">
      <c r="D7" t="str">
        <f>VLOOKUP(A2,A2:D4,2,1)</f>
        <v>849-271-647</v>
      </c>
      <c r="F7">
        <f>VLOOKUP(A4,A1:D4,3,3)</f>
        <v>82</v>
      </c>
    </row>
    <row r="8" spans="1:8">
      <c r="D8">
        <f>VLOOKUP(A4,A2:D4,4,0)</f>
        <v>17000</v>
      </c>
      <c r="F8" t="str">
        <f>HLOOKUP(A2,A2:D4,3,1)</f>
        <v>144-133-144</v>
      </c>
    </row>
    <row r="12" spans="1:8">
      <c r="A12" s="2" t="s">
        <v>1019</v>
      </c>
      <c r="B12" s="3" t="s">
        <v>1020</v>
      </c>
    </row>
    <row r="13" spans="1:8">
      <c r="A13" s="4" t="s">
        <v>1021</v>
      </c>
      <c r="B13" s="5">
        <v>120</v>
      </c>
    </row>
    <row r="14" spans="1:8">
      <c r="A14" s="4" t="s">
        <v>1022</v>
      </c>
      <c r="B14" s="5">
        <v>95</v>
      </c>
    </row>
    <row r="15" spans="1:8">
      <c r="A15" s="4" t="s">
        <v>1023</v>
      </c>
      <c r="B15" s="5">
        <v>110</v>
      </c>
    </row>
    <row r="16" spans="1:8">
      <c r="A16" s="4" t="s">
        <v>1024</v>
      </c>
      <c r="B16" s="5">
        <v>80</v>
      </c>
    </row>
    <row r="17" spans="1:4">
      <c r="A17" s="4" t="s">
        <v>1025</v>
      </c>
      <c r="B17" s="5">
        <v>105</v>
      </c>
    </row>
    <row r="18" spans="1:4">
      <c r="D18">
        <f>SUM(A12:B17)</f>
        <v>510</v>
      </c>
    </row>
    <row r="19" spans="1:4">
      <c r="D19">
        <f>AVERAGE(B13:B17)</f>
        <v>102</v>
      </c>
    </row>
    <row r="20" spans="1:4">
      <c r="D20">
        <f>COUNT(A13:B17)</f>
        <v>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5" master="" otherUserPermission="visible"/>
  <rangeList sheetStid="6" master="" otherUserPermission="visible"/>
  <rangeList sheetStid="1" master="" otherUserPermission="visible"/>
  <rangeList sheetStid="2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Sheet2</vt:lpstr>
      <vt:lpstr>Sheet3</vt:lpstr>
      <vt:lpstr>Data</vt:lpstr>
      <vt:lpstr>Prompts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2026-05-29T06:44:00Z</dcterms:created>
  <dcterms:modified xsi:type="dcterms:W3CDTF">2026-07-30T19:24:42Z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6A3814F2E0154EEBAC43445172E25196_12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